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My Excel Work\"/>
    </mc:Choice>
  </mc:AlternateContent>
  <xr:revisionPtr revIDLastSave="0" documentId="13_ncr:1_{AD9CA2C3-CA6F-4312-B34A-E6EF8A5E4931}" xr6:coauthVersionLast="47" xr6:coauthVersionMax="47" xr10:uidLastSave="{00000000-0000-0000-0000-000000000000}"/>
  <bookViews>
    <workbookView xWindow="-108" yWindow="-108" windowWidth="23256" windowHeight="12456" xr2:uid="{80785157-C30B-437F-BEB7-AB23A9C086AD}"/>
  </bookViews>
  <sheets>
    <sheet name="Dashboard" sheetId="3" r:id="rId1"/>
    <sheet name="Pivot_Analysis" sheetId="5" r:id="rId2"/>
    <sheet name="Transactions" sheetId="1" r:id="rId3"/>
  </sheets>
  <externalReferences>
    <externalReference r:id="rId4"/>
  </externalReferences>
  <definedNames>
    <definedName name="_xlchart.v1.0" hidden="1">Pivot_Analysis!$S$4:$T$20</definedName>
    <definedName name="_xlchart.v1.1" hidden="1">Pivot_Analysis!$U$3</definedName>
    <definedName name="_xlchart.v1.2" hidden="1">Pivot_Analysis!$U$4:$U$20</definedName>
    <definedName name="_xlchart.v1.3" hidden="1">Pivot_Analysis!$S$26:$S$33</definedName>
    <definedName name="_xlchart.v1.4" hidden="1">Pivot_Analysis!$T$25</definedName>
    <definedName name="_xlchart.v1.5" hidden="1">Pivot_Analysis!$T$26:$T$33</definedName>
    <definedName name="Categories">[1]!TblDV[Sub-category]</definedName>
    <definedName name="Slicer_Category">#N/A</definedName>
    <definedName name="Slicer_Month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23" i="5" l="1"/>
  <c r="Y3" i="5"/>
  <c r="U1" i="5" s="1"/>
  <c r="M41" i="3" l="1"/>
  <c r="M38" i="3"/>
  <c r="M39" i="3"/>
  <c r="M40" i="3"/>
  <c r="M37" i="3"/>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F474" i="1" l="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<sst xmlns="http://schemas.openxmlformats.org/spreadsheetml/2006/main" count="1595" uniqueCount="78">
  <si>
    <t>Account</t>
  </si>
  <si>
    <t>Date</t>
  </si>
  <si>
    <t>Description</t>
  </si>
  <si>
    <t>Debit</t>
  </si>
  <si>
    <t>Credit</t>
  </si>
  <si>
    <t>Amount</t>
  </si>
  <si>
    <t>Sub-category</t>
  </si>
  <si>
    <t>Category</t>
  </si>
  <si>
    <t>Category Type</t>
  </si>
  <si>
    <t>ACME Pty Ltd</t>
  </si>
  <si>
    <t>Salary</t>
  </si>
  <si>
    <t>Ground</t>
  </si>
  <si>
    <t>Coffee</t>
  </si>
  <si>
    <t>Estate Mgt.</t>
  </si>
  <si>
    <t>Rent</t>
  </si>
  <si>
    <t>Finance Co.</t>
  </si>
  <si>
    <t>MV Loan</t>
  </si>
  <si>
    <t>Green's</t>
  </si>
  <si>
    <t>Groceries</t>
  </si>
  <si>
    <t>Elec. Co.</t>
  </si>
  <si>
    <t>Gas/Electrics</t>
  </si>
  <si>
    <t>Fuel. Co</t>
  </si>
  <si>
    <t>MV Fuel</t>
  </si>
  <si>
    <t>Event Cinemas</t>
  </si>
  <si>
    <t>Entertainment</t>
  </si>
  <si>
    <t>Clothes</t>
  </si>
  <si>
    <t>Restaurant</t>
  </si>
  <si>
    <t>Taxi Co.</t>
  </si>
  <si>
    <t>Taxi</t>
  </si>
  <si>
    <t>Muscle Beach</t>
  </si>
  <si>
    <t>Gym</t>
  </si>
  <si>
    <t>Smile Dental</t>
  </si>
  <si>
    <t>Dentist</t>
  </si>
  <si>
    <t>Phone</t>
  </si>
  <si>
    <t>Gifts</t>
  </si>
  <si>
    <t>Streaming Co.</t>
  </si>
  <si>
    <t>Golden Arches</t>
  </si>
  <si>
    <t>Worldvision</t>
  </si>
  <si>
    <t>Donation</t>
  </si>
  <si>
    <t>Ticketek</t>
  </si>
  <si>
    <t>Global Fashion</t>
  </si>
  <si>
    <t>Village Medical</t>
  </si>
  <si>
    <t>Doctor</t>
  </si>
  <si>
    <t>Foodary</t>
  </si>
  <si>
    <t>Home Decorator</t>
  </si>
  <si>
    <t>Furnishings</t>
  </si>
  <si>
    <t>Fashion</t>
  </si>
  <si>
    <t>Phone Recharge</t>
  </si>
  <si>
    <t>Happy's Grill</t>
  </si>
  <si>
    <t>Discretionary</t>
  </si>
  <si>
    <t>Expense</t>
  </si>
  <si>
    <t>Dining Out</t>
  </si>
  <si>
    <t>Medical</t>
  </si>
  <si>
    <t>Charity</t>
  </si>
  <si>
    <t>Living Expenses</t>
  </si>
  <si>
    <t>Transport</t>
  </si>
  <si>
    <t>Income</t>
  </si>
  <si>
    <t>Data Validation</t>
  </si>
  <si>
    <t>Debit Card</t>
  </si>
  <si>
    <t>UPI</t>
  </si>
  <si>
    <t>Pizza Dominos</t>
  </si>
  <si>
    <t>Sum of Debit</t>
  </si>
  <si>
    <t>Row Labels</t>
  </si>
  <si>
    <t>Grand Total</t>
  </si>
  <si>
    <t>(All)</t>
  </si>
  <si>
    <t>Jan</t>
  </si>
  <si>
    <t>Feb</t>
  </si>
  <si>
    <t>Mar</t>
  </si>
  <si>
    <t>Apr</t>
  </si>
  <si>
    <t>May</t>
  </si>
  <si>
    <t>Jun</t>
  </si>
  <si>
    <t>Jul</t>
  </si>
  <si>
    <t>Aug</t>
  </si>
  <si>
    <t>Sep</t>
  </si>
  <si>
    <t>Oct</t>
  </si>
  <si>
    <t>Sum of Amount</t>
  </si>
  <si>
    <t>Net</t>
  </si>
  <si>
    <t>Top 5 Categories in Selected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</si>
</sst>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quot;₹&quot;\ #,##0"/>
  </numFmts>
  <fonts count="4" x14ac:knownFonts="1">
    <font>
      <sz val="11"/>
      <color theme="1"/>
      <name val="Aptos Narrow"/>
      <family val="2"/>
      <scheme val="minor"/>
    </font>
    <font>
      <sz val="11"/>
      <color theme="1"/>
      <name val="Calibri"/>
      <family val="2"/>
    </font>
    <font>
      <b/>
      <sz val="11"/>
      <color theme="1"/>
      <name val="Calibri"/>
      <family val="2"/>
    </font>
    <font>
      <sz val="12"/>
      <color theme="1"/>
      <name val="Aptos Narrow"/>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9" tint="0.79998168889431442"/>
        <bgColor indexed="64"/>
      </patternFill>
    </fill>
  </fills>
  <borders count="15">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46">
    <xf numFmtId="0" fontId="0" fillId="0" borderId="0" xfId="0"/>
    <xf numFmtId="0" fontId="0" fillId="0" borderId="2" xfId="0" pivotButton="1" applyBorder="1"/>
    <xf numFmtId="0" fontId="0" fillId="0" borderId="3" xfId="0" applyBorder="1"/>
    <xf numFmtId="165" fontId="0" fillId="0" borderId="9" xfId="0" applyNumberFormat="1" applyBorder="1"/>
    <xf numFmtId="165" fontId="0" fillId="0" borderId="10" xfId="0" applyNumberFormat="1" applyBorder="1"/>
    <xf numFmtId="165" fontId="0" fillId="0" borderId="11" xfId="0" applyNumberFormat="1" applyBorder="1"/>
    <xf numFmtId="0" fontId="0" fillId="0" borderId="8" xfId="0" pivotButton="1" applyBorder="1"/>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8" xfId="0" applyBorder="1" applyAlignment="1">
      <alignment horizontal="left"/>
    </xf>
    <xf numFmtId="0" fontId="0" fillId="0" borderId="8" xfId="0" applyBorder="1"/>
    <xf numFmtId="0" fontId="0" fillId="0" borderId="12" xfId="0" pivotButton="1" applyBorder="1"/>
    <xf numFmtId="0" fontId="0" fillId="0" borderId="13" xfId="0" applyBorder="1"/>
    <xf numFmtId="3" fontId="0" fillId="0" borderId="5" xfId="0" applyNumberFormat="1" applyBorder="1"/>
    <xf numFmtId="3" fontId="0" fillId="0" borderId="7" xfId="0" applyNumberFormat="1" applyBorder="1"/>
    <xf numFmtId="3" fontId="0" fillId="0" borderId="9" xfId="0" applyNumberFormat="1" applyBorder="1"/>
    <xf numFmtId="3" fontId="0" fillId="0" borderId="10" xfId="0" applyNumberFormat="1" applyBorder="1"/>
    <xf numFmtId="3" fontId="0" fillId="0" borderId="11" xfId="0" applyNumberFormat="1" applyBorder="1"/>
    <xf numFmtId="0" fontId="0" fillId="0" borderId="14" xfId="0" pivotButton="1" applyBorder="1"/>
    <xf numFmtId="0" fontId="0" fillId="0" borderId="14" xfId="0" applyBorder="1"/>
    <xf numFmtId="0" fontId="0" fillId="0" borderId="5" xfId="0" applyBorder="1"/>
    <xf numFmtId="3" fontId="0" fillId="0" borderId="0" xfId="0" applyNumberFormat="1"/>
    <xf numFmtId="3" fontId="0" fillId="0" borderId="1" xfId="0" applyNumberFormat="1" applyBorder="1"/>
    <xf numFmtId="3" fontId="0" fillId="0" borderId="2" xfId="0" applyNumberFormat="1" applyBorder="1"/>
    <xf numFmtId="3" fontId="0" fillId="0" borderId="14" xfId="0" applyNumberFormat="1" applyBorder="1"/>
    <xf numFmtId="3" fontId="0" fillId="0" borderId="3" xfId="0" applyNumberFormat="1" applyBorder="1"/>
    <xf numFmtId="3" fontId="0" fillId="0" borderId="4" xfId="0" applyNumberFormat="1" applyBorder="1"/>
    <xf numFmtId="3" fontId="0" fillId="0" borderId="6" xfId="0" applyNumberFormat="1" applyBorder="1"/>
    <xf numFmtId="0" fontId="1" fillId="0" borderId="0" xfId="0" applyFont="1"/>
    <xf numFmtId="164" fontId="1" fillId="0" borderId="0" xfId="0" applyNumberFormat="1" applyFont="1"/>
    <xf numFmtId="0" fontId="1" fillId="2" borderId="0" xfId="0" applyFont="1" applyFill="1"/>
    <xf numFmtId="0" fontId="2" fillId="2" borderId="1" xfId="0" applyFont="1" applyFill="1" applyBorder="1"/>
    <xf numFmtId="14" fontId="1" fillId="0" borderId="0" xfId="0" applyNumberFormat="1" applyFont="1"/>
    <xf numFmtId="0" fontId="1" fillId="3" borderId="0" xfId="0" applyFont="1" applyFill="1"/>
    <xf numFmtId="0" fontId="1" fillId="0" borderId="0" xfId="0" applyFont="1" applyAlignment="1">
      <alignment horizontal="center"/>
    </xf>
    <xf numFmtId="0" fontId="2" fillId="0" borderId="0" xfId="0" applyFont="1"/>
    <xf numFmtId="0" fontId="2" fillId="0" borderId="1" xfId="0" applyFont="1" applyBorder="1"/>
    <xf numFmtId="0" fontId="3" fillId="0" borderId="0" xfId="0" applyFont="1" applyAlignment="1">
      <alignment horizontal="left"/>
    </xf>
    <xf numFmtId="165" fontId="3" fillId="0" borderId="0" xfId="0" applyNumberFormat="1" applyFont="1"/>
    <xf numFmtId="0" fontId="3" fillId="0" borderId="0" xfId="0" applyFont="1"/>
    <xf numFmtId="0" fontId="0" fillId="0" borderId="9" xfId="0" applyBorder="1"/>
    <xf numFmtId="0" fontId="0" fillId="0" borderId="10" xfId="0" applyBorder="1"/>
    <xf numFmtId="0" fontId="0" fillId="0" borderId="11" xfId="0" applyBorder="1"/>
    <xf numFmtId="0" fontId="0" fillId="0" borderId="4" xfId="0" applyBorder="1" applyAlignment="1">
      <alignment horizontal="left"/>
    </xf>
    <xf numFmtId="0" fontId="1" fillId="0" borderId="0" xfId="0" applyFont="1" applyAlignment="1">
      <alignment horizontal="center"/>
    </xf>
  </cellXfs>
  <cellStyles count="1">
    <cellStyle name="Normal" xfId="0" builtinId="0"/>
  </cellStyles>
  <dxfs count="78">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border outline="0">
        <bottom style="thin">
          <color indexed="64"/>
        </bottom>
      </border>
    </dxf>
    <dxf>
      <font>
        <b/>
        <i val="0"/>
        <strike val="0"/>
        <condense val="0"/>
        <extend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numFmt numFmtId="0" formatCode="General"/>
      <fill>
        <patternFill patternType="solid">
          <fgColor indexed="64"/>
          <bgColor theme="9" tint="0.79998168889431442"/>
        </patternFill>
      </fill>
    </dxf>
    <dxf>
      <font>
        <strike val="0"/>
        <outline val="0"/>
        <shadow val="0"/>
        <u val="none"/>
        <vertAlign val="baseline"/>
        <sz val="11"/>
        <color theme="1"/>
        <name val="Calibri"/>
        <family val="2"/>
        <scheme val="none"/>
      </font>
      <numFmt numFmtId="0" formatCode="General"/>
      <fill>
        <patternFill patternType="solid">
          <fgColor indexed="64"/>
          <bgColor theme="9" tint="0.79998168889431442"/>
        </patternFill>
      </fill>
    </dxf>
    <dxf>
      <font>
        <strike val="0"/>
        <outline val="0"/>
        <shadow val="0"/>
        <u val="none"/>
        <vertAlign val="baseline"/>
        <sz val="11"/>
        <color theme="1"/>
        <name val="Calibri"/>
        <family val="2"/>
        <scheme val="none"/>
      </font>
      <numFmt numFmtId="0" formatCode="General"/>
      <fill>
        <patternFill patternType="solid">
          <fgColor indexed="64"/>
          <bgColor theme="9" tint="0.79998168889431442"/>
        </patternFill>
      </fill>
    </dxf>
    <dxf>
      <font>
        <strike val="0"/>
        <outline val="0"/>
        <shadow val="0"/>
        <u val="none"/>
        <vertAlign val="baseline"/>
        <sz val="11"/>
        <color theme="1"/>
        <name val="Calibri"/>
        <family val="2"/>
        <scheme val="none"/>
      </font>
      <fill>
        <patternFill patternType="solid">
          <fgColor indexed="64"/>
          <bgColor theme="9" tint="0.79998168889431442"/>
        </patternFill>
      </fill>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numFmt numFmtId="166" formatCode="dd/mm/yyyy"/>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numFmt numFmtId="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[Personal Finance.xlsx]Pivot_Analysis!PTDoughnut</c:name>
    <c:fmtId val="8"/>
  </c:pivotSource>
  <c:chart>
    <c:title>
      <c:tx>
        <c:rich>
          <a:bodyPr rot="0" spcFirstLastPara="1" vertOverflow="ellipsis" vert="horz" wrap="square" anchor="ctr" anchorCtr="1"/>
          <a:lstStyle/>
          <a:p>
            <a:pPr algn="ctr" rtl="0">
              <a:defRPr lang="en-US" sz="1440" b="0" i="0" u="none" strike="noStrike" kern="1200" spc="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t> Total Spent from my Account</a:t>
            </a:r>
          </a:p>
        </c:rich>
      </c:tx>
      <c:overlay val="0"/>
      <c:spPr>
        <a:noFill/>
        <a:ln>
          <a:noFill/>
        </a:ln>
        <a:effectLst/>
      </c:spPr>
      <c:txPr>
        <a:bodyPr rot="0" spcFirstLastPara="1" vertOverflow="ellipsis" vert="horz" wrap="square" anchor="ctr" anchorCtr="1"/>
        <a:lstStyle/>
        <a:p>
          <a:pPr algn="ctr" rtl="0">
            <a:defRPr lang="en-US" sz="1440" b="0" i="0" u="none" strike="noStrike" kern="1200" spc="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spc="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9.6610195278311745E-2"/>
              <c:y val="-0.13590575313799008"/>
            </c:manualLayout>
          </c:layout>
          <c:spPr>
            <a:noFill/>
            <a:ln>
              <a:noFill/>
            </a:ln>
            <a:effectLst/>
          </c:spPr>
          <c:txPr>
            <a:bodyPr rot="0" spcFirstLastPara="1" vertOverflow="ellipsis" vert="horz" wrap="square" anchor="ctr" anchorCtr="1"/>
            <a:lstStyle/>
            <a:p>
              <a:pPr>
                <a:defRPr lang="en-US" sz="1200" b="0" i="0" u="none" strike="noStrike" kern="1200" spc="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5431382738925062"/>
                  <c:h val="0.2485568171143952"/>
                </c:manualLayout>
              </c15:layout>
            </c:ext>
          </c:extLst>
        </c:dLbl>
      </c:pivotFmt>
      <c:pivotFmt>
        <c:idx val="8"/>
        <c:spPr>
          <a:solidFill>
            <a:schemeClr val="accent6"/>
          </a:solidFill>
          <a:ln w="19050">
            <a:solidFill>
              <a:schemeClr val="lt1"/>
            </a:solidFill>
          </a:ln>
          <a:effectLst/>
        </c:spPr>
        <c:dLbl>
          <c:idx val="0"/>
          <c:layout>
            <c:manualLayout>
              <c:x val="-9.6609794904522858E-2"/>
              <c:y val="7.5503467822308643E-2"/>
            </c:manualLayout>
          </c:layout>
          <c:spPr>
            <a:noFill/>
            <a:ln>
              <a:noFill/>
            </a:ln>
            <a:effectLst/>
          </c:spPr>
          <c:txPr>
            <a:bodyPr rot="0" spcFirstLastPara="1" vertOverflow="ellipsis" vert="horz" wrap="square" anchor="ctr" anchorCtr="1"/>
            <a:lstStyle/>
            <a:p>
              <a:pPr>
                <a:defRPr lang="en-US" sz="1200" b="0" i="0" u="none" strike="noStrike" kern="1200" spc="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2350025984258903"/>
                  <c:h val="0.19940437617837642"/>
                </c:manualLayout>
              </c15:layout>
            </c:ext>
          </c:extLst>
        </c:dLbl>
      </c:pivotFmt>
    </c:pivotFmts>
    <c:plotArea>
      <c:layout>
        <c:manualLayout>
          <c:layoutTarget val="inner"/>
          <c:xMode val="edge"/>
          <c:yMode val="edge"/>
          <c:x val="0.23149412291315172"/>
          <c:y val="0.26349299206640803"/>
          <c:w val="0.56428962078996947"/>
          <c:h val="0.55860818709278259"/>
        </c:manualLayout>
      </c:layout>
      <c:doughnutChart>
        <c:varyColors val="1"/>
        <c:ser>
          <c:idx val="0"/>
          <c:order val="0"/>
          <c:tx>
            <c:strRef>
              <c:f>Pivot_Analysis!$C$14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1CE-4FBD-A6D3-3D2E1826F4D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1CE-4FBD-A6D3-3D2E1826F4D8}"/>
              </c:ext>
            </c:extLst>
          </c:dPt>
          <c:dLbls>
            <c:dLbl>
              <c:idx val="0"/>
              <c:layout>
                <c:manualLayout>
                  <c:x val="9.6610195278311745E-2"/>
                  <c:y val="-0.13590575313799008"/>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5431382738925062"/>
                      <c:h val="0.2485568171143952"/>
                    </c:manualLayout>
                  </c15:layout>
                </c:ext>
                <c:ext xmlns:c16="http://schemas.microsoft.com/office/drawing/2014/chart" uri="{C3380CC4-5D6E-409C-BE32-E72D297353CC}">
                  <c16:uniqueId val="{00000001-81CE-4FBD-A6D3-3D2E1826F4D8}"/>
                </c:ext>
              </c:extLst>
            </c:dLbl>
            <c:dLbl>
              <c:idx val="1"/>
              <c:layout>
                <c:manualLayout>
                  <c:x val="-9.6609794904522858E-2"/>
                  <c:y val="7.5503467822308643E-2"/>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2350025984258903"/>
                      <c:h val="0.19940437617837642"/>
                    </c:manualLayout>
                  </c15:layout>
                </c:ext>
                <c:ext xmlns:c16="http://schemas.microsoft.com/office/drawing/2014/chart" uri="{C3380CC4-5D6E-409C-BE32-E72D297353CC}">
                  <c16:uniqueId val="{00000003-81CE-4FBD-A6D3-3D2E1826F4D8}"/>
                </c:ext>
              </c:extLst>
            </c:dLbl>
            <c:spPr>
              <a:noFill/>
              <a:ln>
                <a:noFill/>
              </a:ln>
              <a:effectLst/>
            </c:spPr>
            <c:txPr>
              <a:bodyPr rot="0" spcFirstLastPara="1" vertOverflow="ellipsis" vert="horz" wrap="square" anchor="ctr" anchorCtr="1"/>
              <a:lstStyle/>
              <a:p>
                <a:pPr>
                  <a:defRPr lang="en-US" sz="1200" b="0" i="0" u="none" strike="noStrike" kern="1200" spc="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Pivot_Analysis!$B$15:$B$17</c:f>
              <c:strCache>
                <c:ptCount val="2"/>
                <c:pt idx="0">
                  <c:v>Debit Card</c:v>
                </c:pt>
                <c:pt idx="1">
                  <c:v>UPI</c:v>
                </c:pt>
              </c:strCache>
            </c:strRef>
          </c:cat>
          <c:val>
            <c:numRef>
              <c:f>Pivot_Analysis!$C$15:$C$17</c:f>
              <c:numCache>
                <c:formatCode>"₹"\ #,##0</c:formatCode>
                <c:ptCount val="2"/>
                <c:pt idx="0">
                  <c:v>112040</c:v>
                </c:pt>
                <c:pt idx="1">
                  <c:v>78663.999999999971</c:v>
                </c:pt>
              </c:numCache>
            </c:numRef>
          </c:val>
          <c:extLst>
            <c:ext xmlns:c16="http://schemas.microsoft.com/office/drawing/2014/chart" uri="{C3380CC4-5D6E-409C-BE32-E72D297353CC}">
              <c16:uniqueId val="{00000004-81CE-4FBD-A6D3-3D2E1826F4D8}"/>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5000">
          <a:srgbClr val="E59FE4"/>
        </a:gs>
        <a:gs pos="52000">
          <a:schemeClr val="accent1">
            <a:lumMod val="45000"/>
            <a:lumOff val="55000"/>
          </a:schemeClr>
        </a:gs>
        <a:gs pos="8000">
          <a:schemeClr val="accent1">
            <a:lumMod val="30000"/>
            <a:lumOff val="70000"/>
          </a:schemeClr>
        </a:gs>
      </a:gsLst>
      <a:lin ang="16200000" scaled="1"/>
      <a:tileRect/>
    </a:gradFill>
    <a:ln w="9525" cap="flat" cmpd="sng" algn="ctr">
      <a:noFill/>
      <a:round/>
    </a:ln>
    <a:effectLst/>
  </c:spPr>
  <c:txPr>
    <a:bodyPr/>
    <a:lstStyle/>
    <a:p>
      <a:pPr algn="ctr" rtl="0">
        <a:defRPr lang="en-US" sz="1200" b="0" i="0" u="none" strike="noStrike" kern="1200" spc="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Finance.xlsx]Pivot_Analysis!PTExpChart</c:name>
    <c:fmtId val="10"/>
  </c:pivotSource>
  <c:chart>
    <c:title>
      <c:tx>
        <c:strRef>
          <c:f>Pivot_Analysis!$Y$3</c:f>
          <c:strCache>
            <c:ptCount val="1"/>
            <c:pt idx="0">
              <c:v>Charity,Dining Out,Discretionary</c:v>
            </c:pt>
          </c:strCache>
        </c:strRef>
      </c:tx>
      <c:layout>
        <c:manualLayout>
          <c:xMode val="edge"/>
          <c:yMode val="edge"/>
          <c:x val="2.7048503753784703E-2"/>
          <c:y val="7.7570490410690349E-2"/>
        </c:manualLayout>
      </c:layout>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Pivot_Analysis!$Y$3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Pivot_Analysis!$Y$3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Pivot_Analysis!$Y$3</c:f>
              <c:numCache>
                <c:formatCode>#,##0</c:formatCode>
                <c:ptCount val="10"/>
                <c:pt idx="0">
                  <c:v>5945</c:v>
                </c:pt>
                <c:pt idx="1">
                  <c:v>6273</c:v>
                </c:pt>
                <c:pt idx="2">
                  <c:v>4951</c:v>
                </c:pt>
                <c:pt idx="3">
                  <c:v>6154.1</c:v>
                </c:pt>
                <c:pt idx="4">
                  <c:v>9068.2000000000007</c:v>
                </c:pt>
                <c:pt idx="5">
                  <c:v>7410.4000000000005</c:v>
                </c:pt>
                <c:pt idx="6">
                  <c:v>8528.6</c:v>
                </c:pt>
                <c:pt idx="7">
                  <c:v>7487.5999999999995</c:v>
                </c:pt>
                <c:pt idx="8">
                  <c:v>7069.3</c:v>
                </c:pt>
                <c:pt idx="9">
                  <c:v>9612.7000000000007</c:v>
                </c:pt>
              </c:numCache>
            </c:numRef>
          </c:val>
          <c:extLst>
            <c:ext xmlns:c16="http://schemas.microsoft.com/office/drawing/2014/chart" uri="{C3380CC4-5D6E-409C-BE32-E72D297353CC}">
              <c16:uniqueId val="{00000000-5CAB-4649-9D1F-E54A404350E4}"/>
            </c:ext>
          </c:extLst>
        </c:ser>
        <c:dLbls>
          <c:dLblPos val="outEnd"/>
          <c:showLegendKey val="0"/>
          <c:showVal val="1"/>
          <c:showCatName val="0"/>
          <c:showSerName val="0"/>
          <c:showPercent val="0"/>
          <c:showBubbleSize val="0"/>
        </c:dLbls>
        <c:gapWidth val="80"/>
        <c:overlap val="-27"/>
        <c:axId val="2045622720"/>
        <c:axId val="2045627040"/>
      </c:barChart>
      <c:catAx>
        <c:axId val="204562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627040"/>
        <c:crosses val="autoZero"/>
        <c:auto val="1"/>
        <c:lblAlgn val="ctr"/>
        <c:lblOffset val="100"/>
        <c:noMultiLvlLbl val="0"/>
      </c:catAx>
      <c:valAx>
        <c:axId val="2045627040"/>
        <c:scaling>
          <c:orientation val="minMax"/>
        </c:scaling>
        <c:delete val="1"/>
        <c:axPos val="l"/>
        <c:numFmt formatCode="#,##0" sourceLinked="1"/>
        <c:majorTickMark val="none"/>
        <c:minorTickMark val="none"/>
        <c:tickLblPos val="nextTo"/>
        <c:crossAx val="204562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Finance.xlsx]Pivot_Analysis!PTNetChart</c:name>
    <c:fmtId val="1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Net</a:t>
            </a:r>
            <a:r>
              <a:rPr lang="en-US" sz="1200" baseline="0"/>
              <a:t> Income</a:t>
            </a:r>
            <a:endParaRPr lang="en-US" sz="1200"/>
          </a:p>
        </c:rich>
      </c:tx>
      <c:layout>
        <c:manualLayout>
          <c:xMode val="edge"/>
          <c:yMode val="edge"/>
          <c:x val="2.4705307980514148E-2"/>
          <c:y val="0.22222222222222221"/>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7762108268942E-2"/>
          <c:y val="0.16041666666666668"/>
          <c:w val="0.94844757834621163"/>
          <c:h val="0.59829505686789153"/>
        </c:manualLayout>
      </c:layout>
      <c:barChart>
        <c:barDir val="col"/>
        <c:grouping val="clustered"/>
        <c:varyColors val="0"/>
        <c:ser>
          <c:idx val="0"/>
          <c:order val="0"/>
          <c:tx>
            <c:strRef>
              <c:f>Pivot_Analysis!$G$18</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5"/>
                </a:solidFill>
                <a:prstDash val="sysDot"/>
              </a:ln>
              <a:effectLst/>
            </c:spPr>
            <c:trendlineType val="linear"/>
            <c:dispRSqr val="0"/>
            <c:dispEq val="0"/>
          </c:trendline>
          <c:cat>
            <c:strRef>
              <c:f>Pivot_Analysis!$F$19:$F$29</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Pivot_Analysis!$G$19:$G$29</c:f>
              <c:numCache>
                <c:formatCode>#,##0</c:formatCode>
                <c:ptCount val="10"/>
                <c:pt idx="0">
                  <c:v>11194</c:v>
                </c:pt>
                <c:pt idx="1">
                  <c:v>12093.199999999999</c:v>
                </c:pt>
                <c:pt idx="2">
                  <c:v>13123.099999999999</c:v>
                </c:pt>
                <c:pt idx="3">
                  <c:v>12312.799999999997</c:v>
                </c:pt>
                <c:pt idx="4">
                  <c:v>9233.9000000000015</c:v>
                </c:pt>
                <c:pt idx="5">
                  <c:v>10890.499999999998</c:v>
                </c:pt>
                <c:pt idx="6">
                  <c:v>9632.3000000000011</c:v>
                </c:pt>
                <c:pt idx="7">
                  <c:v>10745.300000000001</c:v>
                </c:pt>
                <c:pt idx="8">
                  <c:v>11329.4</c:v>
                </c:pt>
                <c:pt idx="9">
                  <c:v>8741.4999999999982</c:v>
                </c:pt>
              </c:numCache>
            </c:numRef>
          </c:val>
          <c:extLst>
            <c:ext xmlns:c16="http://schemas.microsoft.com/office/drawing/2014/chart" uri="{C3380CC4-5D6E-409C-BE32-E72D297353CC}">
              <c16:uniqueId val="{00000001-7C5C-46C6-8986-39FDB3183C19}"/>
            </c:ext>
          </c:extLst>
        </c:ser>
        <c:dLbls>
          <c:dLblPos val="outEnd"/>
          <c:showLegendKey val="0"/>
          <c:showVal val="1"/>
          <c:showCatName val="0"/>
          <c:showSerName val="0"/>
          <c:showPercent val="0"/>
          <c:showBubbleSize val="0"/>
        </c:dLbls>
        <c:gapWidth val="80"/>
        <c:overlap val="-27"/>
        <c:axId val="2058467552"/>
        <c:axId val="2058479072"/>
      </c:barChart>
      <c:catAx>
        <c:axId val="205846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479072"/>
        <c:crosses val="autoZero"/>
        <c:auto val="1"/>
        <c:lblAlgn val="ctr"/>
        <c:lblOffset val="100"/>
        <c:noMultiLvlLbl val="0"/>
      </c:catAx>
      <c:valAx>
        <c:axId val="2058479072"/>
        <c:scaling>
          <c:orientation val="minMax"/>
          <c:max val="20000"/>
        </c:scaling>
        <c:delete val="1"/>
        <c:axPos val="l"/>
        <c:numFmt formatCode="#,##0" sourceLinked="1"/>
        <c:majorTickMark val="none"/>
        <c:minorTickMark val="none"/>
        <c:tickLblPos val="nextTo"/>
        <c:crossAx val="2058467552"/>
        <c:crosses val="autoZero"/>
        <c:crossBetween val="between"/>
        <c:majorUnit val="4000"/>
        <c:minorUnit val="4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[Personal Finance.xlsx]Pivot_Analysis!PTLineChart</c:name>
    <c:fmtId val="1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Pivot_Analysis!$K$3:$K$4</c:f>
              <c:strCache>
                <c:ptCount val="1"/>
                <c:pt idx="0">
                  <c:v>Living Expenses</c:v>
                </c:pt>
              </c:strCache>
            </c:strRef>
          </c:tx>
          <c:spPr>
            <a:ln w="28575" cap="rnd">
              <a:solidFill>
                <a:schemeClr val="accent1"/>
              </a:solidFill>
              <a:round/>
            </a:ln>
            <a:effectLst/>
          </c:spPr>
          <c:marker>
            <c:symbol val="none"/>
          </c:marker>
          <c:cat>
            <c:strRef>
              <c:f>Pivot_Analysis!$J$5:$J$14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Pivot_Analysis!$K$5:$K$14</c:f>
              <c:numCache>
                <c:formatCode>#,##0</c:formatCode>
                <c:ptCount val="10"/>
                <c:pt idx="0">
                  <c:v>8321</c:v>
                </c:pt>
                <c:pt idx="1">
                  <c:v>8323.7999999999993</c:v>
                </c:pt>
                <c:pt idx="2">
                  <c:v>8465.9</c:v>
                </c:pt>
                <c:pt idx="3">
                  <c:v>8193.1</c:v>
                </c:pt>
                <c:pt idx="4">
                  <c:v>8327.9</c:v>
                </c:pt>
                <c:pt idx="5">
                  <c:v>8359.1</c:v>
                </c:pt>
                <c:pt idx="6">
                  <c:v>8489.1</c:v>
                </c:pt>
                <c:pt idx="7">
                  <c:v>8472.1</c:v>
                </c:pt>
                <c:pt idx="8">
                  <c:v>8296.2999999999993</c:v>
                </c:pt>
                <c:pt idx="9">
                  <c:v>8235.7999999999993</c:v>
                </c:pt>
              </c:numCache>
            </c:numRef>
          </c:val>
          <c:smooth val="0"/>
          <c:extLst>
            <c:ext xmlns:c16="http://schemas.microsoft.com/office/drawing/2014/chart" uri="{C3380CC4-5D6E-409C-BE32-E72D297353CC}">
              <c16:uniqueId val="{00000000-6EDA-498F-A455-6F3C883E7297}"/>
            </c:ext>
          </c:extLst>
        </c:ser>
        <c:ser>
          <c:idx val="1"/>
          <c:order val="1"/>
          <c:tx>
            <c:strRef>
              <c:f>Pivot_Analysis!$L$3:$L$4</c:f>
              <c:strCache>
                <c:ptCount val="1"/>
                <c:pt idx="0">
                  <c:v>Discretionary</c:v>
                </c:pt>
              </c:strCache>
            </c:strRef>
          </c:tx>
          <c:spPr>
            <a:ln w="28575" cap="rnd">
              <a:solidFill>
                <a:schemeClr val="accent2"/>
              </a:solidFill>
              <a:round/>
            </a:ln>
            <a:effectLst/>
          </c:spPr>
          <c:marker>
            <c:symbol val="none"/>
          </c:marker>
          <c:cat>
            <c:strRef>
              <c:f>Pivot_Analysis!$J$5:$J$14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Pivot_Analysis!$L$5:$L$14</c:f>
              <c:numCache>
                <c:formatCode>#,##0</c:formatCode>
                <c:ptCount val="10"/>
                <c:pt idx="0">
                  <c:v>3533</c:v>
                </c:pt>
                <c:pt idx="1">
                  <c:v>3860.1</c:v>
                </c:pt>
                <c:pt idx="2">
                  <c:v>2187</c:v>
                </c:pt>
                <c:pt idx="3">
                  <c:v>3389</c:v>
                </c:pt>
                <c:pt idx="4">
                  <c:v>6302</c:v>
                </c:pt>
                <c:pt idx="5">
                  <c:v>4693.3</c:v>
                </c:pt>
                <c:pt idx="6">
                  <c:v>5810.4000000000005</c:v>
                </c:pt>
                <c:pt idx="7">
                  <c:v>4718.4000000000005</c:v>
                </c:pt>
                <c:pt idx="8">
                  <c:v>4349.2</c:v>
                </c:pt>
                <c:pt idx="9">
                  <c:v>6841.6</c:v>
                </c:pt>
              </c:numCache>
            </c:numRef>
          </c:val>
          <c:smooth val="0"/>
          <c:extLst>
            <c:ext xmlns:c16="http://schemas.microsoft.com/office/drawing/2014/chart" uri="{C3380CC4-5D6E-409C-BE32-E72D297353CC}">
              <c16:uniqueId val="{00000001-6EDA-498F-A455-6F3C883E7297}"/>
            </c:ext>
          </c:extLst>
        </c:ser>
        <c:ser>
          <c:idx val="2"/>
          <c:order val="2"/>
          <c:tx>
            <c:strRef>
              <c:f>Pivot_Analysis!$M$3:$M$4</c:f>
              <c:strCache>
                <c:ptCount val="1"/>
                <c:pt idx="0">
                  <c:v>Transport</c:v>
                </c:pt>
              </c:strCache>
            </c:strRef>
          </c:tx>
          <c:spPr>
            <a:ln w="28575" cap="rnd">
              <a:solidFill>
                <a:schemeClr val="accent3"/>
              </a:solidFill>
              <a:round/>
            </a:ln>
            <a:effectLst/>
          </c:spPr>
          <c:marker>
            <c:symbol val="none"/>
          </c:marker>
          <c:cat>
            <c:strRef>
              <c:f>Pivot_Analysis!$J$5:$J$14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Pivot_Analysis!$M$5:$M$14</c:f>
              <c:numCache>
                <c:formatCode>#,##0</c:formatCode>
                <c:ptCount val="10"/>
                <c:pt idx="0">
                  <c:v>3340</c:v>
                </c:pt>
                <c:pt idx="1">
                  <c:v>3310</c:v>
                </c:pt>
                <c:pt idx="2">
                  <c:v>3360</c:v>
                </c:pt>
                <c:pt idx="3">
                  <c:v>3340</c:v>
                </c:pt>
                <c:pt idx="4">
                  <c:v>3270</c:v>
                </c:pt>
                <c:pt idx="5">
                  <c:v>3340</c:v>
                </c:pt>
                <c:pt idx="6">
                  <c:v>3350</c:v>
                </c:pt>
                <c:pt idx="7">
                  <c:v>3295</c:v>
                </c:pt>
                <c:pt idx="8">
                  <c:v>3305</c:v>
                </c:pt>
                <c:pt idx="9">
                  <c:v>3310</c:v>
                </c:pt>
              </c:numCache>
            </c:numRef>
          </c:val>
          <c:smooth val="0"/>
          <c:extLst>
            <c:ext xmlns:c16="http://schemas.microsoft.com/office/drawing/2014/chart" uri="{C3380CC4-5D6E-409C-BE32-E72D297353CC}">
              <c16:uniqueId val="{00000002-6EDA-498F-A455-6F3C883E7297}"/>
            </c:ext>
          </c:extLst>
        </c:ser>
        <c:ser>
          <c:idx val="3"/>
          <c:order val="3"/>
          <c:tx>
            <c:strRef>
              <c:f>Pivot_Analysis!$N$3:$N$4</c:f>
              <c:strCache>
                <c:ptCount val="1"/>
                <c:pt idx="0">
                  <c:v>Dining Out</c:v>
                </c:pt>
              </c:strCache>
            </c:strRef>
          </c:tx>
          <c:spPr>
            <a:ln w="28575" cap="rnd">
              <a:solidFill>
                <a:schemeClr val="accent4"/>
              </a:solidFill>
              <a:round/>
            </a:ln>
            <a:effectLst/>
          </c:spPr>
          <c:marker>
            <c:symbol val="none"/>
          </c:marker>
          <c:cat>
            <c:strRef>
              <c:f>Pivot_Analysis!$J$5:$J$14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Pivot_Analysis!$N$5:$N$14</c:f>
              <c:numCache>
                <c:formatCode>#,##0</c:formatCode>
                <c:ptCount val="10"/>
                <c:pt idx="0">
                  <c:v>1861</c:v>
                </c:pt>
                <c:pt idx="1">
                  <c:v>1861.9</c:v>
                </c:pt>
                <c:pt idx="2">
                  <c:v>2213</c:v>
                </c:pt>
                <c:pt idx="3">
                  <c:v>2214.1</c:v>
                </c:pt>
                <c:pt idx="4">
                  <c:v>2215.1999999999998</c:v>
                </c:pt>
                <c:pt idx="5">
                  <c:v>2166.1</c:v>
                </c:pt>
                <c:pt idx="6">
                  <c:v>2167.1999999999998</c:v>
                </c:pt>
                <c:pt idx="7">
                  <c:v>2218.1999999999998</c:v>
                </c:pt>
                <c:pt idx="8">
                  <c:v>2169.1</c:v>
                </c:pt>
                <c:pt idx="9">
                  <c:v>2220.1</c:v>
                </c:pt>
              </c:numCache>
            </c:numRef>
          </c:val>
          <c:smooth val="0"/>
          <c:extLst>
            <c:ext xmlns:c16="http://schemas.microsoft.com/office/drawing/2014/chart" uri="{C3380CC4-5D6E-409C-BE32-E72D297353CC}">
              <c16:uniqueId val="{00000003-6EDA-498F-A455-6F3C883E7297}"/>
            </c:ext>
          </c:extLst>
        </c:ser>
        <c:ser>
          <c:idx val="4"/>
          <c:order val="4"/>
          <c:tx>
            <c:strRef>
              <c:f>Pivot_Analysis!$O$3:$O$4</c:f>
              <c:strCache>
                <c:ptCount val="1"/>
                <c:pt idx="0">
                  <c:v>Charity</c:v>
                </c:pt>
              </c:strCache>
            </c:strRef>
          </c:tx>
          <c:spPr>
            <a:ln w="28575" cap="rnd">
              <a:solidFill>
                <a:schemeClr val="accent5"/>
              </a:solidFill>
              <a:round/>
            </a:ln>
            <a:effectLst/>
          </c:spPr>
          <c:marker>
            <c:symbol val="none"/>
          </c:marker>
          <c:cat>
            <c:strRef>
              <c:f>Pivot_Analysis!$J$5:$J$14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Pivot_Analysis!$O$5:$O$14</c:f>
              <c:numCache>
                <c:formatCode>#,##0</c:formatCode>
                <c:ptCount val="10"/>
                <c:pt idx="0">
                  <c:v>551</c:v>
                </c:pt>
                <c:pt idx="1">
                  <c:v>551</c:v>
                </c:pt>
                <c:pt idx="2">
                  <c:v>551</c:v>
                </c:pt>
                <c:pt idx="3">
                  <c:v>551</c:v>
                </c:pt>
                <c:pt idx="4">
                  <c:v>551</c:v>
                </c:pt>
                <c:pt idx="5">
                  <c:v>551</c:v>
                </c:pt>
                <c:pt idx="6">
                  <c:v>551</c:v>
                </c:pt>
                <c:pt idx="7">
                  <c:v>551</c:v>
                </c:pt>
                <c:pt idx="8">
                  <c:v>551</c:v>
                </c:pt>
                <c:pt idx="9">
                  <c:v>551</c:v>
                </c:pt>
              </c:numCache>
            </c:numRef>
          </c:val>
          <c:smooth val="0"/>
          <c:extLst>
            <c:ext xmlns:c16="http://schemas.microsoft.com/office/drawing/2014/chart" uri="{C3380CC4-5D6E-409C-BE32-E72D297353CC}">
              <c16:uniqueId val="{00000004-6EDA-498F-A455-6F3C883E7297}"/>
            </c:ext>
          </c:extLst>
        </c:ser>
        <c:ser>
          <c:idx val="5"/>
          <c:order val="5"/>
          <c:tx>
            <c:strRef>
              <c:f>Pivot_Analysis!$P$3:$P$4</c:f>
              <c:strCache>
                <c:ptCount val="1"/>
                <c:pt idx="0">
                  <c:v>Medical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Pivot_Analysis!$J$5:$J$14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Pivot_Analysis!$P$5:$P$14</c:f>
              <c:numCache>
                <c:formatCode>#,##0</c:formatCode>
                <c:ptCount val="10"/>
                <c:pt idx="0">
                  <c:v>1200</c:v>
                </c:pt>
                <c:pt idx="2">
                  <c:v>100</c:v>
                </c:pt>
                <c:pt idx="4">
                  <c:v>100</c:v>
                </c:pt>
                <c:pt idx="9">
                  <c:v>100</c:v>
                </c:pt>
              </c:numCache>
            </c:numRef>
          </c:val>
          <c:smooth val="0"/>
          <c:extLst>
            <c:ext xmlns:c16="http://schemas.microsoft.com/office/drawing/2014/chart" uri="{C3380CC4-5D6E-409C-BE32-E72D297353CC}">
              <c16:uniqueId val="{00000005-6EDA-498F-A455-6F3C883E7297}"/>
            </c:ext>
          </c:extLst>
        </c:ser>
        <c:dLbls>
          <c:showLegendKey val="0"/>
          <c:showVal val="0"/>
          <c:showCatName val="0"/>
          <c:showSerName val="0"/>
          <c:showPercent val="0"/>
          <c:showBubbleSize val="0"/>
        </c:dLbls>
        <c:smooth val="0"/>
        <c:axId val="2058489152"/>
        <c:axId val="2058489632"/>
      </c:lineChart>
      <c:catAx>
        <c:axId val="20584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489632"/>
        <c:crosses val="autoZero"/>
        <c:auto val="1"/>
        <c:lblAlgn val="ctr"/>
        <c:lblOffset val="100"/>
        <c:noMultiLvlLbl val="0"/>
      </c:catAx>
      <c:valAx>
        <c:axId val="20584896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489152"/>
        <c:crosses val="autoZero"/>
        <c:crossBetween val="between"/>
      </c:valAx>
      <c:spPr>
        <a:noFill/>
        <a:ln>
          <a:noFill/>
        </a:ln>
        <a:effectLst/>
      </c:spPr>
    </c:plotArea>
    <c:legend>
      <c:legendPos val="t"/>
      <c:layout>
        <c:manualLayout>
          <c:xMode val="edge"/>
          <c:yMode val="edge"/>
          <c:x val="3.5439376630183317E-2"/>
          <c:y val="3.1007751937984496E-2"/>
          <c:w val="0.94160158217352319"/>
          <c:h val="8.72099127143990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DC997C0E-E3CE-4B85-87FB-D364A0F90901}">
          <cx:tx>
            <cx:txData>
              <cx:f>_xlchart.v1.1</cx:f>
              <cx:v>Sum of Debit</cx:v>
            </cx:txData>
          </cx:tx>
          <cx:dataLabels pos="inEnd">
            <cx:numFmt formatCode="₹ #,##0" sourceLinked="0"/>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plotArea>
      <cx:plotAreaRegion>
        <cx:series layoutId="waterfall" uniqueId="{0767825A-4736-4B42-9527-BC0BE9425EBC}">
          <cx:tx>
            <cx:txData>
              <cx:f>_xlchart.v1.4</cx:f>
              <cx:v>Sum of Amount</cx:v>
            </cx:txData>
          </cx:tx>
          <cx:dataLabels pos="outEnd">
            <cx:visibility seriesName="0" categoryName="0" value="1"/>
          </cx:dataLabels>
          <cx:dataId val="0"/>
          <cx:layoutPr>
            <cx:subtotals>
              <cx:idx val="7"/>
            </cx:subtotals>
          </cx:layoutPr>
        </cx:series>
      </cx:plotAreaRegion>
      <cx:axis id="0">
        <cx:catScaling gapWidth="0.5"/>
        <cx:tickLabels/>
      </cx:axis>
      <cx:axis id="1" hidden="1">
        <cx:valScaling/>
        <cx:tickLabels/>
      </cx:axis>
    </cx:plotArea>
    <cx:legend pos="b" align="ctr" overlay="0"/>
  </cx:chart>
  <cx:spPr>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microsoft.com/office/2014/relationships/chartEx" Target="../charts/chartEx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microsoft.com/office/2014/relationships/chartEx" Target="../charts/chartEx1.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101601</xdr:colOff>
      <xdr:row>0</xdr:row>
      <xdr:rowOff>47625</xdr:rowOff>
    </xdr:from>
    <xdr:to>
      <xdr:col>25</xdr:col>
      <xdr:colOff>8467</xdr:colOff>
      <xdr:row>4</xdr:row>
      <xdr:rowOff>0</xdr:rowOff>
    </xdr:to>
    <xdr:sp macro="" textlink="">
      <xdr:nvSpPr>
        <xdr:cNvPr id="2" name="Rectangle: Rounded Corners 1">
          <a:extLst>
            <a:ext uri="{FF2B5EF4-FFF2-40B4-BE49-F238E27FC236}">
              <a16:creationId xmlns:a16="http://schemas.microsoft.com/office/drawing/2014/main" id="{D33BF65F-860A-695F-E914-80BC40096676}"/>
            </a:ext>
          </a:extLst>
        </xdr:cNvPr>
        <xdr:cNvSpPr/>
      </xdr:nvSpPr>
      <xdr:spPr>
        <a:xfrm>
          <a:off x="101601" y="47625"/>
          <a:ext cx="16575616" cy="647700"/>
        </a:xfrm>
        <a:prstGeom prst="roundRect">
          <a:avLst/>
        </a:prstGeom>
        <a:gradFill flip="none" rotWithShape="1">
          <a:gsLst>
            <a:gs pos="2000">
              <a:schemeClr val="tx2">
                <a:lumMod val="40000"/>
                <a:lumOff val="60000"/>
              </a:schemeClr>
            </a:gs>
            <a:gs pos="100000">
              <a:schemeClr val="accent1">
                <a:lumMod val="20000"/>
                <a:lumOff val="80000"/>
              </a:schemeClr>
            </a:gs>
            <a:gs pos="33000">
              <a:schemeClr val="accent1">
                <a:lumMod val="60000"/>
                <a:lumOff val="40000"/>
              </a:schemeClr>
            </a:gs>
            <a:gs pos="72000">
              <a:schemeClr val="accent1">
                <a:lumMod val="40000"/>
                <a:lumOff val="60000"/>
              </a:schemeClr>
            </a:gs>
          </a:gsLst>
          <a:lin ang="0" scaled="1"/>
          <a:tileRect/>
        </a:gradFill>
        <a:ln>
          <a:gradFill>
            <a:gsLst>
              <a:gs pos="0">
                <a:schemeClr val="accent1">
                  <a:lumMod val="5000"/>
                  <a:lumOff val="95000"/>
                </a:schemeClr>
              </a:gs>
              <a:gs pos="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000">
              <a:latin typeface="Calibri" panose="020F0502020204030204" pitchFamily="34" charset="0"/>
              <a:ea typeface="Calibri" panose="020F0502020204030204" pitchFamily="34" charset="0"/>
              <a:cs typeface="Calibri" panose="020F0502020204030204" pitchFamily="34" charset="0"/>
            </a:rPr>
            <a:t>Personal Finance Dashboard</a:t>
          </a:r>
        </a:p>
      </xdr:txBody>
    </xdr:sp>
    <xdr:clientData/>
  </xdr:twoCellAnchor>
  <xdr:twoCellAnchor editAs="oneCell">
    <xdr:from>
      <xdr:col>12</xdr:col>
      <xdr:colOff>152400</xdr:colOff>
      <xdr:row>0</xdr:row>
      <xdr:rowOff>160867</xdr:rowOff>
    </xdr:from>
    <xdr:to>
      <xdr:col>12</xdr:col>
      <xdr:colOff>512400</xdr:colOff>
      <xdr:row>2</xdr:row>
      <xdr:rowOff>148334</xdr:rowOff>
    </xdr:to>
    <xdr:pic>
      <xdr:nvPicPr>
        <xdr:cNvPr id="4" name="Graphic 3" descr="House">
          <a:extLst>
            <a:ext uri="{FF2B5EF4-FFF2-40B4-BE49-F238E27FC236}">
              <a16:creationId xmlns:a16="http://schemas.microsoft.com/office/drawing/2014/main" id="{EC39E2E7-F6B9-56D2-A556-0725BD45A7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67600" y="160867"/>
          <a:ext cx="360000" cy="360000"/>
        </a:xfrm>
        <a:prstGeom prst="rect">
          <a:avLst/>
        </a:prstGeom>
      </xdr:spPr>
    </xdr:pic>
    <xdr:clientData/>
  </xdr:twoCellAnchor>
  <xdr:twoCellAnchor editAs="oneCell">
    <xdr:from>
      <xdr:col>14</xdr:col>
      <xdr:colOff>153387</xdr:colOff>
      <xdr:row>0</xdr:row>
      <xdr:rowOff>160867</xdr:rowOff>
    </xdr:from>
    <xdr:to>
      <xdr:col>14</xdr:col>
      <xdr:colOff>513387</xdr:colOff>
      <xdr:row>2</xdr:row>
      <xdr:rowOff>148334</xdr:rowOff>
    </xdr:to>
    <xdr:pic>
      <xdr:nvPicPr>
        <xdr:cNvPr id="6" name="Graphic 5" descr="Shopping cart">
          <a:extLst>
            <a:ext uri="{FF2B5EF4-FFF2-40B4-BE49-F238E27FC236}">
              <a16:creationId xmlns:a16="http://schemas.microsoft.com/office/drawing/2014/main" id="{E2611D0E-9BEA-1878-6C8F-2C8E981394C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687787" y="160867"/>
          <a:ext cx="360000" cy="360000"/>
        </a:xfrm>
        <a:prstGeom prst="rect">
          <a:avLst/>
        </a:prstGeom>
      </xdr:spPr>
    </xdr:pic>
    <xdr:clientData/>
  </xdr:twoCellAnchor>
  <xdr:twoCellAnchor editAs="oneCell">
    <xdr:from>
      <xdr:col>16</xdr:col>
      <xdr:colOff>154374</xdr:colOff>
      <xdr:row>0</xdr:row>
      <xdr:rowOff>160867</xdr:rowOff>
    </xdr:from>
    <xdr:to>
      <xdr:col>16</xdr:col>
      <xdr:colOff>514374</xdr:colOff>
      <xdr:row>2</xdr:row>
      <xdr:rowOff>148334</xdr:rowOff>
    </xdr:to>
    <xdr:pic>
      <xdr:nvPicPr>
        <xdr:cNvPr id="8" name="Graphic 7" descr="Car">
          <a:extLst>
            <a:ext uri="{FF2B5EF4-FFF2-40B4-BE49-F238E27FC236}">
              <a16:creationId xmlns:a16="http://schemas.microsoft.com/office/drawing/2014/main" id="{F159BB90-A4CE-F428-4D37-AF5190ED8EE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907974" y="160867"/>
          <a:ext cx="360000" cy="360000"/>
        </a:xfrm>
        <a:prstGeom prst="rect">
          <a:avLst/>
        </a:prstGeom>
      </xdr:spPr>
    </xdr:pic>
    <xdr:clientData/>
  </xdr:twoCellAnchor>
  <xdr:twoCellAnchor editAs="oneCell">
    <xdr:from>
      <xdr:col>18</xdr:col>
      <xdr:colOff>155361</xdr:colOff>
      <xdr:row>0</xdr:row>
      <xdr:rowOff>160867</xdr:rowOff>
    </xdr:from>
    <xdr:to>
      <xdr:col>18</xdr:col>
      <xdr:colOff>515361</xdr:colOff>
      <xdr:row>2</xdr:row>
      <xdr:rowOff>148334</xdr:rowOff>
    </xdr:to>
    <xdr:pic>
      <xdr:nvPicPr>
        <xdr:cNvPr id="10" name="Graphic 9" descr="Fork and knife">
          <a:extLst>
            <a:ext uri="{FF2B5EF4-FFF2-40B4-BE49-F238E27FC236}">
              <a16:creationId xmlns:a16="http://schemas.microsoft.com/office/drawing/2014/main" id="{1EECCF78-B100-E23C-63DA-3D3EB934148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128161" y="160867"/>
          <a:ext cx="360000" cy="360000"/>
        </a:xfrm>
        <a:prstGeom prst="rect">
          <a:avLst/>
        </a:prstGeom>
      </xdr:spPr>
    </xdr:pic>
    <xdr:clientData/>
  </xdr:twoCellAnchor>
  <xdr:twoCellAnchor editAs="oneCell">
    <xdr:from>
      <xdr:col>20</xdr:col>
      <xdr:colOff>156348</xdr:colOff>
      <xdr:row>0</xdr:row>
      <xdr:rowOff>160867</xdr:rowOff>
    </xdr:from>
    <xdr:to>
      <xdr:col>20</xdr:col>
      <xdr:colOff>516348</xdr:colOff>
      <xdr:row>2</xdr:row>
      <xdr:rowOff>148334</xdr:rowOff>
    </xdr:to>
    <xdr:pic>
      <xdr:nvPicPr>
        <xdr:cNvPr id="12" name="Graphic 11" descr="Shamrock">
          <a:extLst>
            <a:ext uri="{FF2B5EF4-FFF2-40B4-BE49-F238E27FC236}">
              <a16:creationId xmlns:a16="http://schemas.microsoft.com/office/drawing/2014/main" id="{9DA90BC9-D603-DF9B-8960-78A6228926B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348348" y="160867"/>
          <a:ext cx="360000" cy="360000"/>
        </a:xfrm>
        <a:prstGeom prst="rect">
          <a:avLst/>
        </a:prstGeom>
      </xdr:spPr>
    </xdr:pic>
    <xdr:clientData/>
  </xdr:twoCellAnchor>
  <xdr:twoCellAnchor editAs="oneCell">
    <xdr:from>
      <xdr:col>22</xdr:col>
      <xdr:colOff>157334</xdr:colOff>
      <xdr:row>0</xdr:row>
      <xdr:rowOff>160867</xdr:rowOff>
    </xdr:from>
    <xdr:to>
      <xdr:col>22</xdr:col>
      <xdr:colOff>517334</xdr:colOff>
      <xdr:row>2</xdr:row>
      <xdr:rowOff>148334</xdr:rowOff>
    </xdr:to>
    <xdr:pic>
      <xdr:nvPicPr>
        <xdr:cNvPr id="14" name="Graphic 13" descr="First aid kit">
          <a:extLst>
            <a:ext uri="{FF2B5EF4-FFF2-40B4-BE49-F238E27FC236}">
              <a16:creationId xmlns:a16="http://schemas.microsoft.com/office/drawing/2014/main" id="{0CDADEBF-FF1C-9220-4B02-2147C96D449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568534" y="160867"/>
          <a:ext cx="360000" cy="360000"/>
        </a:xfrm>
        <a:prstGeom prst="rect">
          <a:avLst/>
        </a:prstGeom>
      </xdr:spPr>
    </xdr:pic>
    <xdr:clientData/>
  </xdr:twoCellAnchor>
  <xdr:twoCellAnchor>
    <xdr:from>
      <xdr:col>12</xdr:col>
      <xdr:colOff>499533</xdr:colOff>
      <xdr:row>0</xdr:row>
      <xdr:rowOff>143933</xdr:rowOff>
    </xdr:from>
    <xdr:to>
      <xdr:col>14</xdr:col>
      <xdr:colOff>50800</xdr:colOff>
      <xdr:row>2</xdr:row>
      <xdr:rowOff>135467</xdr:rowOff>
    </xdr:to>
    <xdr:sp macro="" textlink="Pivot_Analysis!C4">
      <xdr:nvSpPr>
        <xdr:cNvPr id="15" name="TextBox 14">
          <a:extLst>
            <a:ext uri="{FF2B5EF4-FFF2-40B4-BE49-F238E27FC236}">
              <a16:creationId xmlns:a16="http://schemas.microsoft.com/office/drawing/2014/main" id="{279AD9DC-074C-5C45-E4E0-999E5F3F2C70}"/>
            </a:ext>
          </a:extLst>
        </xdr:cNvPr>
        <xdr:cNvSpPr txBox="1"/>
      </xdr:nvSpPr>
      <xdr:spPr>
        <a:xfrm>
          <a:off x="7814733" y="143933"/>
          <a:ext cx="770467"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9AE371F-A99B-403F-A09F-342B36CB2B77}" type="TxLink">
            <a:rPr lang="en-US" sz="1300" b="0" i="0" u="none" strike="noStrike">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pPr/>
            <a:t>₹ 83,484</a:t>
          </a:fld>
          <a:endParaRPr lang="en-IN" sz="130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452965</xdr:colOff>
      <xdr:row>0</xdr:row>
      <xdr:rowOff>47625</xdr:rowOff>
    </xdr:from>
    <xdr:to>
      <xdr:col>11</xdr:col>
      <xdr:colOff>647700</xdr:colOff>
      <xdr:row>4</xdr:row>
      <xdr:rowOff>20110</xdr:rowOff>
    </xdr:to>
    <xdr:sp macro="" textlink="">
      <xdr:nvSpPr>
        <xdr:cNvPr id="16" name="TextBox 15">
          <a:extLst>
            <a:ext uri="{FF2B5EF4-FFF2-40B4-BE49-F238E27FC236}">
              <a16:creationId xmlns:a16="http://schemas.microsoft.com/office/drawing/2014/main" id="{AE3B7370-80B7-C7A0-295E-6DCBDF898D36}"/>
            </a:ext>
          </a:extLst>
        </xdr:cNvPr>
        <xdr:cNvSpPr txBox="1"/>
      </xdr:nvSpPr>
      <xdr:spPr>
        <a:xfrm>
          <a:off x="7120465" y="47625"/>
          <a:ext cx="861485" cy="667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Spend</a:t>
          </a:r>
          <a:r>
            <a:rPr lang="en-IN" sz="1200" baseline="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 </a:t>
          </a:r>
          <a:r>
            <a:rPr lang="en-IN" sz="1600" baseline="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YTD</a:t>
          </a:r>
          <a:endParaRPr lang="en-IN" sz="160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465666</xdr:colOff>
      <xdr:row>0</xdr:row>
      <xdr:rowOff>135467</xdr:rowOff>
    </xdr:from>
    <xdr:to>
      <xdr:col>16</xdr:col>
      <xdr:colOff>16933</xdr:colOff>
      <xdr:row>2</xdr:row>
      <xdr:rowOff>127001</xdr:rowOff>
    </xdr:to>
    <xdr:sp macro="" textlink="Pivot_Analysis!C5">
      <xdr:nvSpPr>
        <xdr:cNvPr id="17" name="TextBox 16">
          <a:extLst>
            <a:ext uri="{FF2B5EF4-FFF2-40B4-BE49-F238E27FC236}">
              <a16:creationId xmlns:a16="http://schemas.microsoft.com/office/drawing/2014/main" id="{07FAF943-B802-2CBB-3B42-6452796485B7}"/>
            </a:ext>
          </a:extLst>
        </xdr:cNvPr>
        <xdr:cNvSpPr txBox="1"/>
      </xdr:nvSpPr>
      <xdr:spPr>
        <a:xfrm>
          <a:off x="9000066" y="135467"/>
          <a:ext cx="770467"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31582A0-458F-4DEB-8657-7323803755EA}" type="TxLink">
            <a:rPr lang="en-US" sz="1300" b="0" i="0" u="none" strike="noStrike">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pPr marL="0" indent="0"/>
            <a:t>₹ 45,684</a:t>
          </a:fld>
          <a:endParaRPr lang="en-IN" sz="1300" b="0" i="0" u="none" strike="noStrike">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127002</xdr:colOff>
      <xdr:row>2</xdr:row>
      <xdr:rowOff>127000</xdr:rowOff>
    </xdr:from>
    <xdr:to>
      <xdr:col>16</xdr:col>
      <xdr:colOff>76202</xdr:colOff>
      <xdr:row>3</xdr:row>
      <xdr:rowOff>160867</xdr:rowOff>
    </xdr:to>
    <xdr:sp macro="" textlink="">
      <xdr:nvSpPr>
        <xdr:cNvPr id="18" name="TextBox 17">
          <a:extLst>
            <a:ext uri="{FF2B5EF4-FFF2-40B4-BE49-F238E27FC236}">
              <a16:creationId xmlns:a16="http://schemas.microsoft.com/office/drawing/2014/main" id="{1A1A188B-F959-D1E3-7C5F-389F5D6FA749}"/>
            </a:ext>
          </a:extLst>
        </xdr:cNvPr>
        <xdr:cNvSpPr txBox="1"/>
      </xdr:nvSpPr>
      <xdr:spPr>
        <a:xfrm>
          <a:off x="8661402" y="499533"/>
          <a:ext cx="1168400" cy="220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Discretionary</a:t>
          </a:r>
        </a:p>
      </xdr:txBody>
    </xdr:sp>
    <xdr:clientData/>
  </xdr:twoCellAnchor>
  <xdr:twoCellAnchor>
    <xdr:from>
      <xdr:col>16</xdr:col>
      <xdr:colOff>508000</xdr:colOff>
      <xdr:row>0</xdr:row>
      <xdr:rowOff>143933</xdr:rowOff>
    </xdr:from>
    <xdr:to>
      <xdr:col>18</xdr:col>
      <xdr:colOff>59267</xdr:colOff>
      <xdr:row>2</xdr:row>
      <xdr:rowOff>135467</xdr:rowOff>
    </xdr:to>
    <xdr:sp macro="" textlink="Pivot_Analysis!C6">
      <xdr:nvSpPr>
        <xdr:cNvPr id="19" name="TextBox 18">
          <a:extLst>
            <a:ext uri="{FF2B5EF4-FFF2-40B4-BE49-F238E27FC236}">
              <a16:creationId xmlns:a16="http://schemas.microsoft.com/office/drawing/2014/main" id="{2060E637-6D46-9BF5-66E7-CEBC9B4F5910}"/>
            </a:ext>
          </a:extLst>
        </xdr:cNvPr>
        <xdr:cNvSpPr txBox="1"/>
      </xdr:nvSpPr>
      <xdr:spPr>
        <a:xfrm>
          <a:off x="10261600" y="143933"/>
          <a:ext cx="770467"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12CE4F1E-4E71-4E29-B18A-AC66C71A82B6}" type="TxLink">
            <a:rPr lang="en-US" sz="1300" b="0" i="0" u="none" strike="noStrike">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pPr marL="0" indent="0"/>
            <a:t>₹ 33,220</a:t>
          </a:fld>
          <a:endParaRPr lang="en-IN" sz="1300" b="0" i="0" u="none" strike="noStrike">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186269</xdr:colOff>
      <xdr:row>2</xdr:row>
      <xdr:rowOff>127000</xdr:rowOff>
    </xdr:from>
    <xdr:to>
      <xdr:col>18</xdr:col>
      <xdr:colOff>135469</xdr:colOff>
      <xdr:row>3</xdr:row>
      <xdr:rowOff>160867</xdr:rowOff>
    </xdr:to>
    <xdr:sp macro="" textlink="">
      <xdr:nvSpPr>
        <xdr:cNvPr id="20" name="TextBox 19">
          <a:extLst>
            <a:ext uri="{FF2B5EF4-FFF2-40B4-BE49-F238E27FC236}">
              <a16:creationId xmlns:a16="http://schemas.microsoft.com/office/drawing/2014/main" id="{3857537C-E5A9-62C5-993F-1EFBBF76D77B}"/>
            </a:ext>
          </a:extLst>
        </xdr:cNvPr>
        <xdr:cNvSpPr txBox="1"/>
      </xdr:nvSpPr>
      <xdr:spPr>
        <a:xfrm>
          <a:off x="9939869" y="499533"/>
          <a:ext cx="1168400" cy="220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Transport</a:t>
          </a:r>
        </a:p>
      </xdr:txBody>
    </xdr:sp>
    <xdr:clientData/>
  </xdr:twoCellAnchor>
  <xdr:twoCellAnchor>
    <xdr:from>
      <xdr:col>18</xdr:col>
      <xdr:colOff>482600</xdr:colOff>
      <xdr:row>0</xdr:row>
      <xdr:rowOff>152400</xdr:rowOff>
    </xdr:from>
    <xdr:to>
      <xdr:col>20</xdr:col>
      <xdr:colOff>33867</xdr:colOff>
      <xdr:row>2</xdr:row>
      <xdr:rowOff>143934</xdr:rowOff>
    </xdr:to>
    <xdr:sp macro="" textlink="Pivot_Analysis!C7">
      <xdr:nvSpPr>
        <xdr:cNvPr id="21" name="TextBox 20">
          <a:extLst>
            <a:ext uri="{FF2B5EF4-FFF2-40B4-BE49-F238E27FC236}">
              <a16:creationId xmlns:a16="http://schemas.microsoft.com/office/drawing/2014/main" id="{E11E6B73-9917-C8E0-D1D3-E320E20DC3BD}"/>
            </a:ext>
          </a:extLst>
        </xdr:cNvPr>
        <xdr:cNvSpPr txBox="1"/>
      </xdr:nvSpPr>
      <xdr:spPr>
        <a:xfrm>
          <a:off x="11455400" y="152400"/>
          <a:ext cx="770467"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7865E96-5FDD-47D9-BAED-BEE203502B8F}" type="TxLink">
            <a:rPr lang="en-US" sz="1300" b="0" i="0" u="none" strike="noStrike">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pPr marL="0" indent="0"/>
            <a:t>₹ 21,306</a:t>
          </a:fld>
          <a:endParaRPr lang="en-IN" sz="1300" b="0" i="0" u="none" strike="noStrike">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18</xdr:col>
      <xdr:colOff>203202</xdr:colOff>
      <xdr:row>2</xdr:row>
      <xdr:rowOff>127000</xdr:rowOff>
    </xdr:from>
    <xdr:to>
      <xdr:col>20</xdr:col>
      <xdr:colOff>152402</xdr:colOff>
      <xdr:row>3</xdr:row>
      <xdr:rowOff>160867</xdr:rowOff>
    </xdr:to>
    <xdr:sp macro="" textlink="">
      <xdr:nvSpPr>
        <xdr:cNvPr id="22" name="TextBox 21">
          <a:extLst>
            <a:ext uri="{FF2B5EF4-FFF2-40B4-BE49-F238E27FC236}">
              <a16:creationId xmlns:a16="http://schemas.microsoft.com/office/drawing/2014/main" id="{0261F8EA-5F78-4651-824B-A0AB0F68F1A2}"/>
            </a:ext>
          </a:extLst>
        </xdr:cNvPr>
        <xdr:cNvSpPr txBox="1"/>
      </xdr:nvSpPr>
      <xdr:spPr>
        <a:xfrm>
          <a:off x="11176002" y="499533"/>
          <a:ext cx="1168400" cy="220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Dining</a:t>
          </a:r>
          <a:r>
            <a:rPr lang="en-IN" sz="1200" baseline="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 Out</a:t>
          </a:r>
          <a:endParaRPr lang="en-IN" sz="120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474133</xdr:colOff>
      <xdr:row>0</xdr:row>
      <xdr:rowOff>143933</xdr:rowOff>
    </xdr:from>
    <xdr:to>
      <xdr:col>22</xdr:col>
      <xdr:colOff>25400</xdr:colOff>
      <xdr:row>2</xdr:row>
      <xdr:rowOff>135467</xdr:rowOff>
    </xdr:to>
    <xdr:sp macro="" textlink="Pivot_Analysis!C8">
      <xdr:nvSpPr>
        <xdr:cNvPr id="23" name="TextBox 22">
          <a:extLst>
            <a:ext uri="{FF2B5EF4-FFF2-40B4-BE49-F238E27FC236}">
              <a16:creationId xmlns:a16="http://schemas.microsoft.com/office/drawing/2014/main" id="{92567A3F-DB8B-4804-C787-79DFBF0D10C8}"/>
            </a:ext>
          </a:extLst>
        </xdr:cNvPr>
        <xdr:cNvSpPr txBox="1"/>
      </xdr:nvSpPr>
      <xdr:spPr>
        <a:xfrm>
          <a:off x="12666133" y="143933"/>
          <a:ext cx="770467"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71EAD3E-3C16-4348-8404-A531070EF65B}" type="TxLink">
            <a:rPr lang="en-US" sz="1300" b="0" i="0" u="none" strike="noStrike">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pPr marL="0" indent="0"/>
            <a:t>₹ 5,510</a:t>
          </a:fld>
          <a:endParaRPr lang="en-IN" sz="1300" b="0" i="0" u="none" strike="noStrike">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101602</xdr:colOff>
      <xdr:row>2</xdr:row>
      <xdr:rowOff>127000</xdr:rowOff>
    </xdr:from>
    <xdr:to>
      <xdr:col>22</xdr:col>
      <xdr:colOff>50802</xdr:colOff>
      <xdr:row>3</xdr:row>
      <xdr:rowOff>160867</xdr:rowOff>
    </xdr:to>
    <xdr:sp macro="" textlink="">
      <xdr:nvSpPr>
        <xdr:cNvPr id="24" name="TextBox 23">
          <a:extLst>
            <a:ext uri="{FF2B5EF4-FFF2-40B4-BE49-F238E27FC236}">
              <a16:creationId xmlns:a16="http://schemas.microsoft.com/office/drawing/2014/main" id="{8609CB6E-14C8-1EF5-C411-7B7C7C79BDF0}"/>
            </a:ext>
          </a:extLst>
        </xdr:cNvPr>
        <xdr:cNvSpPr txBox="1"/>
      </xdr:nvSpPr>
      <xdr:spPr>
        <a:xfrm>
          <a:off x="12293602" y="499533"/>
          <a:ext cx="1168400" cy="220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Charity</a:t>
          </a:r>
        </a:p>
      </xdr:txBody>
    </xdr:sp>
    <xdr:clientData/>
  </xdr:twoCellAnchor>
  <xdr:twoCellAnchor>
    <xdr:from>
      <xdr:col>22</xdr:col>
      <xdr:colOff>516466</xdr:colOff>
      <xdr:row>0</xdr:row>
      <xdr:rowOff>143933</xdr:rowOff>
    </xdr:from>
    <xdr:to>
      <xdr:col>24</xdr:col>
      <xdr:colOff>67733</xdr:colOff>
      <xdr:row>2</xdr:row>
      <xdr:rowOff>135467</xdr:rowOff>
    </xdr:to>
    <xdr:sp macro="" textlink="Pivot_Analysis!C9">
      <xdr:nvSpPr>
        <xdr:cNvPr id="25" name="TextBox 24">
          <a:extLst>
            <a:ext uri="{FF2B5EF4-FFF2-40B4-BE49-F238E27FC236}">
              <a16:creationId xmlns:a16="http://schemas.microsoft.com/office/drawing/2014/main" id="{D821EC7A-6A90-644C-A2F9-4580BB6A0436}"/>
            </a:ext>
          </a:extLst>
        </xdr:cNvPr>
        <xdr:cNvSpPr txBox="1"/>
      </xdr:nvSpPr>
      <xdr:spPr>
        <a:xfrm>
          <a:off x="13927666" y="143933"/>
          <a:ext cx="770467"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39A11A7-818E-4CF1-83F3-82CFF896D3F2}" type="TxLink">
            <a:rPr lang="en-US" sz="1300" b="0" i="0" u="none" strike="noStrike">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pPr marL="0" indent="0"/>
            <a:t>₹ 1,500</a:t>
          </a:fld>
          <a:endParaRPr lang="en-IN" sz="1300" b="0" i="0" u="none" strike="noStrike">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22</xdr:col>
      <xdr:colOff>143935</xdr:colOff>
      <xdr:row>2</xdr:row>
      <xdr:rowOff>127000</xdr:rowOff>
    </xdr:from>
    <xdr:to>
      <xdr:col>24</xdr:col>
      <xdr:colOff>93135</xdr:colOff>
      <xdr:row>3</xdr:row>
      <xdr:rowOff>160867</xdr:rowOff>
    </xdr:to>
    <xdr:sp macro="" textlink="">
      <xdr:nvSpPr>
        <xdr:cNvPr id="26" name="TextBox 25">
          <a:extLst>
            <a:ext uri="{FF2B5EF4-FFF2-40B4-BE49-F238E27FC236}">
              <a16:creationId xmlns:a16="http://schemas.microsoft.com/office/drawing/2014/main" id="{A2D27C19-2AB4-5632-F410-AB6FC1B2091C}"/>
            </a:ext>
          </a:extLst>
        </xdr:cNvPr>
        <xdr:cNvSpPr txBox="1"/>
      </xdr:nvSpPr>
      <xdr:spPr>
        <a:xfrm>
          <a:off x="13555135" y="499533"/>
          <a:ext cx="1168400" cy="220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Medical</a:t>
          </a:r>
        </a:p>
        <a:p>
          <a:pPr algn="ctr"/>
          <a:endParaRPr lang="en-IN" sz="120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382059</xdr:colOff>
      <xdr:row>4</xdr:row>
      <xdr:rowOff>83606</xdr:rowOff>
    </xdr:from>
    <xdr:to>
      <xdr:col>13</xdr:col>
      <xdr:colOff>441325</xdr:colOff>
      <xdr:row>19</xdr:row>
      <xdr:rowOff>9525</xdr:rowOff>
    </xdr:to>
    <xdr:graphicFrame macro="">
      <xdr:nvGraphicFramePr>
        <xdr:cNvPr id="3" name="Chart 2">
          <a:extLst>
            <a:ext uri="{FF2B5EF4-FFF2-40B4-BE49-F238E27FC236}">
              <a16:creationId xmlns:a16="http://schemas.microsoft.com/office/drawing/2014/main" id="{4E19EF5F-7871-44D9-8933-422687080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638175</xdr:colOff>
      <xdr:row>10</xdr:row>
      <xdr:rowOff>104775</xdr:rowOff>
    </xdr:from>
    <xdr:to>
      <xdr:col>12</xdr:col>
      <xdr:colOff>409575</xdr:colOff>
      <xdr:row>14</xdr:row>
      <xdr:rowOff>66675</xdr:rowOff>
    </xdr:to>
    <xdr:sp macro="" textlink="Pivot_Analysis!C17">
      <xdr:nvSpPr>
        <xdr:cNvPr id="5" name="TextBox 4">
          <a:extLst>
            <a:ext uri="{FF2B5EF4-FFF2-40B4-BE49-F238E27FC236}">
              <a16:creationId xmlns:a16="http://schemas.microsoft.com/office/drawing/2014/main" id="{53BB6EE8-A294-7031-3F89-01E2BEADC7AA}"/>
            </a:ext>
          </a:extLst>
        </xdr:cNvPr>
        <xdr:cNvSpPr txBox="1"/>
      </xdr:nvSpPr>
      <xdr:spPr>
        <a:xfrm>
          <a:off x="7305675" y="1828800"/>
          <a:ext cx="139065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135650-396A-40FA-842C-5DB9E7AFF3E5}" type="TxLink">
            <a:rPr lang="en-US" sz="1100" b="0" i="0" u="none" strike="noStrike">
              <a:solidFill>
                <a:srgbClr val="000000"/>
              </a:solidFill>
              <a:latin typeface="Aptos Narrow"/>
            </a:rPr>
            <a:pPr algn="ctr"/>
            <a:t>₹ 190,704</a:t>
          </a:fld>
          <a:endParaRPr lang="en-IN" sz="1100"/>
        </a:p>
      </xdr:txBody>
    </xdr:sp>
    <xdr:clientData/>
  </xdr:twoCellAnchor>
  <xdr:twoCellAnchor>
    <xdr:from>
      <xdr:col>0</xdr:col>
      <xdr:colOff>171450</xdr:colOff>
      <xdr:row>3</xdr:row>
      <xdr:rowOff>171451</xdr:rowOff>
    </xdr:from>
    <xdr:to>
      <xdr:col>9</xdr:col>
      <xdr:colOff>142875</xdr:colOff>
      <xdr:row>15</xdr:row>
      <xdr:rowOff>19051</xdr:rowOff>
    </xdr:to>
    <xdr:graphicFrame macro="">
      <xdr:nvGraphicFramePr>
        <xdr:cNvPr id="7" name="Chart 6">
          <a:extLst>
            <a:ext uri="{FF2B5EF4-FFF2-40B4-BE49-F238E27FC236}">
              <a16:creationId xmlns:a16="http://schemas.microsoft.com/office/drawing/2014/main" id="{28AC1088-39A5-4838-950B-2A4DD4C15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171450</xdr:colOff>
      <xdr:row>11</xdr:row>
      <xdr:rowOff>161925</xdr:rowOff>
    </xdr:from>
    <xdr:to>
      <xdr:col>9</xdr:col>
      <xdr:colOff>104776</xdr:colOff>
      <xdr:row>27</xdr:row>
      <xdr:rowOff>9525</xdr:rowOff>
    </xdr:to>
    <xdr:graphicFrame macro="">
      <xdr:nvGraphicFramePr>
        <xdr:cNvPr id="9" name="Chart 8">
          <a:extLst>
            <a:ext uri="{FF2B5EF4-FFF2-40B4-BE49-F238E27FC236}">
              <a16:creationId xmlns:a16="http://schemas.microsoft.com/office/drawing/2014/main" id="{A7300B06-B321-4176-AF42-5F1E4A801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142875</xdr:colOff>
      <xdr:row>26</xdr:row>
      <xdr:rowOff>104775</xdr:rowOff>
    </xdr:from>
    <xdr:to>
      <xdr:col>9</xdr:col>
      <xdr:colOff>247650</xdr:colOff>
      <xdr:row>40</xdr:row>
      <xdr:rowOff>142875</xdr:rowOff>
    </xdr:to>
    <xdr:graphicFrame macro="">
      <xdr:nvGraphicFramePr>
        <xdr:cNvPr id="13" name="Chart 12">
          <a:extLst>
            <a:ext uri="{FF2B5EF4-FFF2-40B4-BE49-F238E27FC236}">
              <a16:creationId xmlns:a16="http://schemas.microsoft.com/office/drawing/2014/main" id="{EFFA7758-4949-4F5E-9F78-ACD646D00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180975</xdr:colOff>
      <xdr:row>4</xdr:row>
      <xdr:rowOff>76200</xdr:rowOff>
    </xdr:from>
    <xdr:to>
      <xdr:col>9</xdr:col>
      <xdr:colOff>257175</xdr:colOff>
      <xdr:row>24</xdr:row>
      <xdr:rowOff>171450</xdr:rowOff>
    </xdr:to>
    <xdr:sp macro="" textlink="">
      <xdr:nvSpPr>
        <xdr:cNvPr id="27" name="Rectangle: Rounded Corners 26">
          <a:extLst>
            <a:ext uri="{FF2B5EF4-FFF2-40B4-BE49-F238E27FC236}">
              <a16:creationId xmlns:a16="http://schemas.microsoft.com/office/drawing/2014/main" id="{8EAC1CE9-13EE-E4CB-17EC-A55E5312D62C}"/>
            </a:ext>
          </a:extLst>
        </xdr:cNvPr>
        <xdr:cNvSpPr/>
      </xdr:nvSpPr>
      <xdr:spPr>
        <a:xfrm>
          <a:off x="180975" y="800100"/>
          <a:ext cx="5562600" cy="3714750"/>
        </a:xfrm>
        <a:prstGeom prst="roundRect">
          <a:avLst>
            <a:gd name="adj" fmla="val 3077"/>
          </a:avLst>
        </a:prstGeom>
        <a:no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180975</xdr:colOff>
      <xdr:row>25</xdr:row>
      <xdr:rowOff>142874</xdr:rowOff>
    </xdr:from>
    <xdr:to>
      <xdr:col>9</xdr:col>
      <xdr:colOff>257175</xdr:colOff>
      <xdr:row>41</xdr:row>
      <xdr:rowOff>9526</xdr:rowOff>
    </xdr:to>
    <xdr:sp macro="" textlink="">
      <xdr:nvSpPr>
        <xdr:cNvPr id="28" name="Rectangle: Rounded Corners 27">
          <a:extLst>
            <a:ext uri="{FF2B5EF4-FFF2-40B4-BE49-F238E27FC236}">
              <a16:creationId xmlns:a16="http://schemas.microsoft.com/office/drawing/2014/main" id="{27A94341-580E-4AA1-97F2-8A5606DE5BF7}"/>
            </a:ext>
          </a:extLst>
        </xdr:cNvPr>
        <xdr:cNvSpPr/>
      </xdr:nvSpPr>
      <xdr:spPr>
        <a:xfrm>
          <a:off x="180975" y="4438649"/>
          <a:ext cx="6076950" cy="3048002"/>
        </a:xfrm>
        <a:prstGeom prst="roundRect">
          <a:avLst>
            <a:gd name="adj" fmla="val 3077"/>
          </a:avLst>
        </a:prstGeom>
        <a:no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593725</xdr:colOff>
      <xdr:row>4</xdr:row>
      <xdr:rowOff>123825</xdr:rowOff>
    </xdr:from>
    <xdr:to>
      <xdr:col>24</xdr:col>
      <xdr:colOff>602192</xdr:colOff>
      <xdr:row>23</xdr:row>
      <xdr:rowOff>9525</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4E6AE370-A411-467D-ABB7-A16A55A03F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8869045" y="855345"/>
              <a:ext cx="6714067" cy="33604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552450</xdr:colOff>
      <xdr:row>4</xdr:row>
      <xdr:rowOff>76200</xdr:rowOff>
    </xdr:from>
    <xdr:to>
      <xdr:col>24</xdr:col>
      <xdr:colOff>656167</xdr:colOff>
      <xdr:row>23</xdr:row>
      <xdr:rowOff>9525</xdr:rowOff>
    </xdr:to>
    <xdr:sp macro="" textlink="">
      <xdr:nvSpPr>
        <xdr:cNvPr id="30" name="Rectangle: Rounded Corners 29">
          <a:extLst>
            <a:ext uri="{FF2B5EF4-FFF2-40B4-BE49-F238E27FC236}">
              <a16:creationId xmlns:a16="http://schemas.microsoft.com/office/drawing/2014/main" id="{6BD0A24F-10CF-44A3-9621-FBFA1E18AF8D}"/>
            </a:ext>
          </a:extLst>
        </xdr:cNvPr>
        <xdr:cNvSpPr/>
      </xdr:nvSpPr>
      <xdr:spPr>
        <a:xfrm>
          <a:off x="9220200" y="771525"/>
          <a:ext cx="7437967" cy="3190875"/>
        </a:xfrm>
        <a:prstGeom prst="roundRect">
          <a:avLst>
            <a:gd name="adj" fmla="val 3582"/>
          </a:avLst>
        </a:prstGeom>
        <a:no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127002</xdr:colOff>
      <xdr:row>2</xdr:row>
      <xdr:rowOff>127000</xdr:rowOff>
    </xdr:from>
    <xdr:to>
      <xdr:col>14</xdr:col>
      <xdr:colOff>76202</xdr:colOff>
      <xdr:row>3</xdr:row>
      <xdr:rowOff>160867</xdr:rowOff>
    </xdr:to>
    <xdr:sp macro="" textlink="">
      <xdr:nvSpPr>
        <xdr:cNvPr id="31" name="TextBox 30">
          <a:extLst>
            <a:ext uri="{FF2B5EF4-FFF2-40B4-BE49-F238E27FC236}">
              <a16:creationId xmlns:a16="http://schemas.microsoft.com/office/drawing/2014/main" id="{150B9C55-285F-4F88-B188-FC9C9DD162EF}"/>
            </a:ext>
          </a:extLst>
        </xdr:cNvPr>
        <xdr:cNvSpPr txBox="1"/>
      </xdr:nvSpPr>
      <xdr:spPr>
        <a:xfrm>
          <a:off x="8128002" y="479425"/>
          <a:ext cx="1282700" cy="205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Living</a:t>
          </a:r>
          <a:r>
            <a:rPr lang="en-IN" sz="1200" baseline="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 Expenses</a:t>
          </a:r>
        </a:p>
      </xdr:txBody>
    </xdr:sp>
    <xdr:clientData/>
  </xdr:twoCellAnchor>
  <xdr:twoCellAnchor>
    <xdr:from>
      <xdr:col>13</xdr:col>
      <xdr:colOff>638174</xdr:colOff>
      <xdr:row>25</xdr:row>
      <xdr:rowOff>19050</xdr:rowOff>
    </xdr:from>
    <xdr:to>
      <xdr:col>24</xdr:col>
      <xdr:colOff>552449</xdr:colOff>
      <xdr:row>40</xdr:row>
      <xdr:rowOff>171450</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698E5EB1-ACAB-438E-BDC5-0A8E99A9EC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8883014" y="4591050"/>
              <a:ext cx="6650355" cy="31927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600075</xdr:colOff>
      <xdr:row>24</xdr:row>
      <xdr:rowOff>19049</xdr:rowOff>
    </xdr:from>
    <xdr:to>
      <xdr:col>25</xdr:col>
      <xdr:colOff>8467</xdr:colOff>
      <xdr:row>41</xdr:row>
      <xdr:rowOff>9524</xdr:rowOff>
    </xdr:to>
    <xdr:sp macro="" textlink="">
      <xdr:nvSpPr>
        <xdr:cNvPr id="33" name="Rectangle: Rounded Corners 32">
          <a:extLst>
            <a:ext uri="{FF2B5EF4-FFF2-40B4-BE49-F238E27FC236}">
              <a16:creationId xmlns:a16="http://schemas.microsoft.com/office/drawing/2014/main" id="{DB25354A-FF9C-4F99-ABF2-1D4FF790D358}"/>
            </a:ext>
          </a:extLst>
        </xdr:cNvPr>
        <xdr:cNvSpPr/>
      </xdr:nvSpPr>
      <xdr:spPr>
        <a:xfrm>
          <a:off x="9696450" y="4143374"/>
          <a:ext cx="7409392" cy="3343275"/>
        </a:xfrm>
        <a:prstGeom prst="roundRect">
          <a:avLst>
            <a:gd name="adj" fmla="val 3582"/>
          </a:avLst>
        </a:prstGeom>
        <a:no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35</xdr:row>
      <xdr:rowOff>57150</xdr:rowOff>
    </xdr:from>
    <xdr:to>
      <xdr:col>13</xdr:col>
      <xdr:colOff>85725</xdr:colOff>
      <xdr:row>35</xdr:row>
      <xdr:rowOff>66675</xdr:rowOff>
    </xdr:to>
    <xdr:cxnSp macro="">
      <xdr:nvCxnSpPr>
        <xdr:cNvPr id="34" name="Straight Connector 33">
          <a:extLst>
            <a:ext uri="{FF2B5EF4-FFF2-40B4-BE49-F238E27FC236}">
              <a16:creationId xmlns:a16="http://schemas.microsoft.com/office/drawing/2014/main" id="{6BF03DE3-74C0-4767-B477-98E13E9B13ED}"/>
            </a:ext>
          </a:extLst>
        </xdr:cNvPr>
        <xdr:cNvCxnSpPr/>
      </xdr:nvCxnSpPr>
      <xdr:spPr>
        <a:xfrm>
          <a:off x="6667500" y="6143625"/>
          <a:ext cx="2514600" cy="95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9</xdr:col>
      <xdr:colOff>409575</xdr:colOff>
      <xdr:row>19</xdr:row>
      <xdr:rowOff>95251</xdr:rowOff>
    </xdr:from>
    <xdr:to>
      <xdr:col>11</xdr:col>
      <xdr:colOff>352425</xdr:colOff>
      <xdr:row>33</xdr:row>
      <xdr:rowOff>133351</xdr:rowOff>
    </xdr:to>
    <mc:AlternateContent xmlns:mc="http://schemas.openxmlformats.org/markup-compatibility/2006" xmlns:a14="http://schemas.microsoft.com/office/drawing/2010/main">
      <mc:Choice Requires="a14">
        <xdr:graphicFrame macro="">
          <xdr:nvGraphicFramePr>
            <xdr:cNvPr id="41" name="Category">
              <a:extLst>
                <a:ext uri="{FF2B5EF4-FFF2-40B4-BE49-F238E27FC236}">
                  <a16:creationId xmlns:a16="http://schemas.microsoft.com/office/drawing/2014/main" id="{AB218877-933D-4097-9BC4-40D9BE1A7CC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10325" y="3438524"/>
              <a:ext cx="1571625" cy="2362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447675</xdr:colOff>
      <xdr:row>19</xdr:row>
      <xdr:rowOff>95251</xdr:rowOff>
    </xdr:from>
    <xdr:to>
      <xdr:col>13</xdr:col>
      <xdr:colOff>432436</xdr:colOff>
      <xdr:row>33</xdr:row>
      <xdr:rowOff>133351</xdr:rowOff>
    </xdr:to>
    <mc:AlternateContent xmlns:mc="http://schemas.openxmlformats.org/markup-compatibility/2006" xmlns:a14="http://schemas.microsoft.com/office/drawing/2010/main">
      <mc:Choice Requires="a14">
        <xdr:graphicFrame macro="">
          <xdr:nvGraphicFramePr>
            <xdr:cNvPr id="42" name="Months (Date)">
              <a:extLst>
                <a:ext uri="{FF2B5EF4-FFF2-40B4-BE49-F238E27FC236}">
                  <a16:creationId xmlns:a16="http://schemas.microsoft.com/office/drawing/2014/main" id="{C754BA08-79E2-4C28-8C21-E63087B67E2E}"/>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8048625" y="3362326"/>
              <a:ext cx="1480186" cy="243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123825</xdr:colOff>
      <xdr:row>25</xdr:row>
      <xdr:rowOff>38100</xdr:rowOff>
    </xdr:from>
    <xdr:to>
      <xdr:col>24</xdr:col>
      <xdr:colOff>409575</xdr:colOff>
      <xdr:row>26</xdr:row>
      <xdr:rowOff>142875</xdr:rowOff>
    </xdr:to>
    <xdr:sp macro="" textlink="Pivot_Analysis!W23">
      <xdr:nvSpPr>
        <xdr:cNvPr id="11" name="TextBox 10">
          <a:extLst>
            <a:ext uri="{FF2B5EF4-FFF2-40B4-BE49-F238E27FC236}">
              <a16:creationId xmlns:a16="http://schemas.microsoft.com/office/drawing/2014/main" id="{1D609B95-97A4-4863-B4F5-02B9A0326769}"/>
            </a:ext>
          </a:extLst>
        </xdr:cNvPr>
        <xdr:cNvSpPr txBox="1"/>
      </xdr:nvSpPr>
      <xdr:spPr>
        <a:xfrm>
          <a:off x="9886950" y="4333875"/>
          <a:ext cx="69532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196A0C-2FC9-4010-BBDF-0E5236E4C2AE}" type="TxLink">
            <a:rPr lang="en-US" sz="1200" b="0" i="0" u="none" strike="noStrike">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pPr/>
            <a:t>Expense by Category - YTD</a:t>
          </a:fld>
          <a:endParaRPr lang="en-US" sz="120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64135</xdr:colOff>
      <xdr:row>5</xdr:row>
      <xdr:rowOff>3810</xdr:rowOff>
    </xdr:from>
    <xdr:to>
      <xdr:col>24</xdr:col>
      <xdr:colOff>349885</xdr:colOff>
      <xdr:row>6</xdr:row>
      <xdr:rowOff>50800</xdr:rowOff>
    </xdr:to>
    <xdr:sp macro="" textlink="Pivot_Analysis!U1">
      <xdr:nvSpPr>
        <xdr:cNvPr id="37" name="TextBox 36">
          <a:extLst>
            <a:ext uri="{FF2B5EF4-FFF2-40B4-BE49-F238E27FC236}">
              <a16:creationId xmlns:a16="http://schemas.microsoft.com/office/drawing/2014/main" id="{6DC8B010-48F6-46D4-A87F-6BB3B2E5FD43}"/>
            </a:ext>
          </a:extLst>
        </xdr:cNvPr>
        <xdr:cNvSpPr txBox="1"/>
      </xdr:nvSpPr>
      <xdr:spPr>
        <a:xfrm>
          <a:off x="8954135" y="935143"/>
          <a:ext cx="6381750" cy="233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048C43-2EB1-4C46-AF7D-48463007FFE7}" type="TxLink">
            <a:rPr lang="en-US" sz="1200" b="0" i="0" u="none" strike="noStrike">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pPr/>
            <a:t>Charity,Dining Out,Discretionary-YTD</a:t>
          </a:fld>
          <a:endParaRPr lang="en-US" sz="140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My%20Excel%20Work\Personal_Finance_Dashboard_dl.xlsx" TargetMode="External"/><Relationship Id="rId1" Type="http://schemas.openxmlformats.org/officeDocument/2006/relationships/externalLinkPath" Target="Personal_Finance_Dashboard_d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sh Shaikh" refreshedDate="45566.888171064813" createdVersion="8" refreshedVersion="8" minRefreshableVersion="3" recordCount="473" xr:uid="{4CD3DF7D-1965-4412-96D2-16CA8C56BD34}">
  <cacheSource type="worksheet">
    <worksheetSource name="Transactions"/>
  </cacheSource>
  <cacheFields count="10">
    <cacheField name="Account" numFmtId="0">
      <sharedItems count="2">
        <s v="Debit Card"/>
        <s v="UPI"/>
      </sharedItems>
    </cacheField>
    <cacheField name="Date" numFmtId="14">
      <sharedItems containsSemiMixedTypes="0" containsNonDate="0" containsDate="1" containsString="0" minDate="2023-01-04T00:00:00" maxDate="2023-11-01T00:00:00" count="270">
        <d v="2023-01-04T00:00:00"/>
        <d v="2023-01-05T00:00:00"/>
        <d v="2023-01-06T00:00:00"/>
        <d v="2023-01-07T00:00:00"/>
        <d v="2023-01-08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8T00:00:00"/>
        <d v="2023-04-29T00:00:00"/>
        <d v="2023-04-30T00:00:00"/>
        <d v="2023-05-02T00:00:00"/>
        <d v="2023-05-03T00:00:00"/>
        <d v="2023-05-04T00:00:00"/>
        <d v="2023-05-05T00:00:00"/>
        <d v="2023-05-06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1T00:00:00"/>
        <d v="2023-05-30T00:00:00"/>
        <d v="2023-06-01T00:00:00"/>
        <d v="2023-06-03T00:00:00"/>
        <d v="2023-06-04T00:00:00"/>
        <d v="2023-06-05T00:00:00"/>
        <d v="2023-06-06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5T00:00:00"/>
        <d v="2023-07-06T00:00:00"/>
        <d v="2023-07-07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2T00:00:00"/>
        <d v="2023-08-03T00:00:00"/>
        <d v="2023-08-05T00:00:00"/>
        <d v="2023-08-06T00:00:00"/>
        <d v="2023-08-07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2T00:00:00"/>
        <d v="2023-09-03T00:00:00"/>
        <d v="2023-09-05T00:00:00"/>
        <d v="2023-09-06T00:00:00"/>
        <d v="2023-09-07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3T00:00:00"/>
        <d v="2023-10-04T00:00:00"/>
        <d v="2023-10-06T00:00:00"/>
        <d v="2023-10-07T00:00:00"/>
        <d v="2023-10-08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sharedItems>
      <fieldGroup par="9"/>
    </cacheField>
    <cacheField name="Description" numFmtId="0">
      <sharedItems/>
    </cacheField>
    <cacheField name="Debit" numFmtId="0">
      <sharedItems containsString="0" containsBlank="1" containsNumber="1" minValue="12" maxValue="6000"/>
    </cacheField>
    <cacheField name="Credit" numFmtId="0">
      <sharedItems containsString="0" containsBlank="1" containsNumber="1" containsInteger="1" minValue="30000" maxValue="30000"/>
    </cacheField>
    <cacheField name="Amount" numFmtId="0">
      <sharedItems containsSemiMixedTypes="0" containsString="0" containsNumber="1" minValue="-6000" maxValue="30000"/>
    </cacheField>
    <cacheField name="Sub-category" numFmtId="0">
      <sharedItems count="18">
        <s v="Salary"/>
        <s v="Coffee"/>
        <s v="Rent"/>
        <s v="MV Loan"/>
        <s v="Groceries"/>
        <s v="Gas/Electrics"/>
        <s v="MV Fuel"/>
        <s v="Entertainment"/>
        <s v="Clothes"/>
        <s v="Restaurant"/>
        <s v="Taxi"/>
        <s v="Gym"/>
        <s v="Dentist"/>
        <s v="Phone"/>
        <s v="Gifts"/>
        <s v="Donation"/>
        <s v="Doctor"/>
        <s v="Furnishings"/>
      </sharedItems>
    </cacheField>
    <cacheField name="Category" numFmtId="0">
      <sharedItems count="7">
        <s v="Salary"/>
        <s v="Dining Out"/>
        <s v="Living Expenses"/>
        <s v="Transport"/>
        <s v="Discretionary"/>
        <s v="Medical"/>
        <s v="Charity"/>
      </sharedItems>
    </cacheField>
    <cacheField name="Category Type" numFmtId="0">
      <sharedItems count="2">
        <s v="Income"/>
        <s v="Expense"/>
      </sharedItems>
    </cacheField>
    <cacheField name="Months (Date)" numFmtId="0" databaseField="0">
      <fieldGroup base="1">
        <rangePr groupBy="months" startDate="2023-01-04T00:00:00" endDate="2023-11-01T00:00:00"/>
        <groupItems count="14">
          <s v="&lt;04-01-2023"/>
          <s v="Jan"/>
          <s v="Feb"/>
          <s v="Mar"/>
          <s v="Apr"/>
          <s v="May"/>
          <s v="Jun"/>
          <s v="Jul"/>
          <s v="Aug"/>
          <s v="Sep"/>
          <s v="Oct"/>
          <s v="Nov"/>
          <s v="Dec"/>
          <s v="&gt;01-11-2023"/>
        </groupItems>
      </fieldGroup>
    </cacheField>
  </cacheFields>
  <extLst>
    <ext xmlns:x14="http://schemas.microsoft.com/office/spreadsheetml/2009/9/main" uri="{725AE2AE-9491-48be-B2B4-4EB974FC3084}">
      <x14:pivotCacheDefinition pivotCacheId="1998114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3">
  <r>
    <x v="0"/>
    <x v="0"/>
    <s v="ACME Pty Ltd"/>
    <m/>
    <n v="30000"/>
    <n v="30000"/>
    <x v="0"/>
    <x v="0"/>
    <x v="0"/>
  </r>
  <r>
    <x v="1"/>
    <x v="0"/>
    <s v="Ground"/>
    <n v="50"/>
    <m/>
    <n v="-50"/>
    <x v="1"/>
    <x v="1"/>
    <x v="1"/>
  </r>
  <r>
    <x v="0"/>
    <x v="1"/>
    <s v="Estate Mgt."/>
    <n v="6000"/>
    <m/>
    <n v="-6000"/>
    <x v="2"/>
    <x v="2"/>
    <x v="1"/>
  </r>
  <r>
    <x v="0"/>
    <x v="1"/>
    <s v="Finance Co."/>
    <n v="2500"/>
    <m/>
    <n v="-2500"/>
    <x v="3"/>
    <x v="3"/>
    <x v="1"/>
  </r>
  <r>
    <x v="1"/>
    <x v="1"/>
    <s v="Ground"/>
    <n v="50"/>
    <m/>
    <n v="-50"/>
    <x v="1"/>
    <x v="1"/>
    <x v="1"/>
  </r>
  <r>
    <x v="1"/>
    <x v="2"/>
    <s v="Ground"/>
    <n v="50"/>
    <m/>
    <n v="-50"/>
    <x v="1"/>
    <x v="1"/>
    <x v="1"/>
  </r>
  <r>
    <x v="1"/>
    <x v="3"/>
    <s v="Ground"/>
    <n v="50"/>
    <m/>
    <n v="-50"/>
    <x v="1"/>
    <x v="1"/>
    <x v="1"/>
  </r>
  <r>
    <x v="1"/>
    <x v="4"/>
    <s v="Ground"/>
    <n v="50"/>
    <m/>
    <n v="-50"/>
    <x v="1"/>
    <x v="1"/>
    <x v="1"/>
  </r>
  <r>
    <x v="1"/>
    <x v="4"/>
    <s v="Green's"/>
    <n v="155"/>
    <m/>
    <n v="-155"/>
    <x v="4"/>
    <x v="2"/>
    <x v="1"/>
  </r>
  <r>
    <x v="0"/>
    <x v="5"/>
    <s v="Elec. Co."/>
    <n v="1000"/>
    <m/>
    <n v="-1000"/>
    <x v="5"/>
    <x v="2"/>
    <x v="1"/>
  </r>
  <r>
    <x v="1"/>
    <x v="5"/>
    <s v="Ground"/>
    <n v="50"/>
    <m/>
    <n v="-50"/>
    <x v="1"/>
    <x v="1"/>
    <x v="1"/>
  </r>
  <r>
    <x v="1"/>
    <x v="6"/>
    <s v="Ground"/>
    <n v="50"/>
    <m/>
    <n v="-50"/>
    <x v="1"/>
    <x v="1"/>
    <x v="1"/>
  </r>
  <r>
    <x v="1"/>
    <x v="7"/>
    <s v="Fuel. Co"/>
    <n v="300"/>
    <m/>
    <n v="-300"/>
    <x v="6"/>
    <x v="3"/>
    <x v="1"/>
  </r>
  <r>
    <x v="1"/>
    <x v="7"/>
    <s v="Ground"/>
    <n v="50"/>
    <m/>
    <n v="-50"/>
    <x v="1"/>
    <x v="1"/>
    <x v="1"/>
  </r>
  <r>
    <x v="1"/>
    <x v="8"/>
    <s v="Ground"/>
    <n v="50"/>
    <m/>
    <n v="-50"/>
    <x v="1"/>
    <x v="1"/>
    <x v="1"/>
  </r>
  <r>
    <x v="1"/>
    <x v="9"/>
    <s v="Green's"/>
    <n v="135"/>
    <m/>
    <n v="-135"/>
    <x v="4"/>
    <x v="2"/>
    <x v="1"/>
  </r>
  <r>
    <x v="1"/>
    <x v="9"/>
    <s v="Ground"/>
    <n v="50"/>
    <m/>
    <n v="-50"/>
    <x v="1"/>
    <x v="1"/>
    <x v="1"/>
  </r>
  <r>
    <x v="1"/>
    <x v="10"/>
    <s v="Ground"/>
    <n v="50"/>
    <m/>
    <n v="-50"/>
    <x v="1"/>
    <x v="1"/>
    <x v="1"/>
  </r>
  <r>
    <x v="1"/>
    <x v="10"/>
    <s v="Event Cinemas"/>
    <n v="140"/>
    <m/>
    <n v="-140"/>
    <x v="7"/>
    <x v="4"/>
    <x v="1"/>
  </r>
  <r>
    <x v="1"/>
    <x v="10"/>
    <s v="Fashion"/>
    <n v="198"/>
    <m/>
    <n v="-198"/>
    <x v="8"/>
    <x v="4"/>
    <x v="1"/>
  </r>
  <r>
    <x v="1"/>
    <x v="10"/>
    <s v="Happy's Grill"/>
    <n v="200"/>
    <m/>
    <n v="-200"/>
    <x v="9"/>
    <x v="1"/>
    <x v="1"/>
  </r>
  <r>
    <x v="1"/>
    <x v="11"/>
    <s v="Taxi Co."/>
    <n v="120"/>
    <m/>
    <n v="-120"/>
    <x v="10"/>
    <x v="3"/>
    <x v="1"/>
  </r>
  <r>
    <x v="0"/>
    <x v="12"/>
    <s v="Muscle Beach"/>
    <n v="300"/>
    <m/>
    <n v="-300"/>
    <x v="11"/>
    <x v="4"/>
    <x v="1"/>
  </r>
  <r>
    <x v="1"/>
    <x v="12"/>
    <s v="Ground"/>
    <n v="50"/>
    <m/>
    <n v="-50"/>
    <x v="1"/>
    <x v="1"/>
    <x v="1"/>
  </r>
  <r>
    <x v="1"/>
    <x v="13"/>
    <s v="Ground"/>
    <n v="50"/>
    <m/>
    <n v="-50"/>
    <x v="1"/>
    <x v="1"/>
    <x v="1"/>
  </r>
  <r>
    <x v="0"/>
    <x v="13"/>
    <s v="Smile Dental"/>
    <n v="1200"/>
    <m/>
    <n v="-1200"/>
    <x v="12"/>
    <x v="5"/>
    <x v="1"/>
  </r>
  <r>
    <x v="0"/>
    <x v="13"/>
    <s v="Phone Recharge"/>
    <n v="699"/>
    <m/>
    <n v="-699"/>
    <x v="13"/>
    <x v="2"/>
    <x v="1"/>
  </r>
  <r>
    <x v="1"/>
    <x v="14"/>
    <s v="Gifts"/>
    <n v="500"/>
    <m/>
    <n v="-500"/>
    <x v="14"/>
    <x v="4"/>
    <x v="1"/>
  </r>
  <r>
    <x v="1"/>
    <x v="14"/>
    <s v="Streaming Co."/>
    <n v="500"/>
    <m/>
    <n v="-500"/>
    <x v="7"/>
    <x v="4"/>
    <x v="1"/>
  </r>
  <r>
    <x v="1"/>
    <x v="14"/>
    <s v="Ground"/>
    <n v="50"/>
    <m/>
    <n v="-50"/>
    <x v="1"/>
    <x v="1"/>
    <x v="1"/>
  </r>
  <r>
    <x v="1"/>
    <x v="15"/>
    <s v="Ground"/>
    <n v="50"/>
    <m/>
    <n v="-50"/>
    <x v="1"/>
    <x v="1"/>
    <x v="1"/>
  </r>
  <r>
    <x v="1"/>
    <x v="16"/>
    <s v="Ground"/>
    <n v="50"/>
    <m/>
    <n v="-50"/>
    <x v="1"/>
    <x v="1"/>
    <x v="1"/>
  </r>
  <r>
    <x v="1"/>
    <x v="16"/>
    <s v="Green's"/>
    <n v="170"/>
    <m/>
    <n v="-170"/>
    <x v="4"/>
    <x v="2"/>
    <x v="1"/>
  </r>
  <r>
    <x v="1"/>
    <x v="17"/>
    <s v="Pizza Dominos"/>
    <n v="599"/>
    <m/>
    <n v="-599"/>
    <x v="9"/>
    <x v="1"/>
    <x v="1"/>
  </r>
  <r>
    <x v="1"/>
    <x v="18"/>
    <s v="Golden Arches"/>
    <n v="12"/>
    <m/>
    <n v="-12"/>
    <x v="9"/>
    <x v="1"/>
    <x v="1"/>
  </r>
  <r>
    <x v="0"/>
    <x v="19"/>
    <s v="Worldvision"/>
    <n v="551"/>
    <m/>
    <n v="-551"/>
    <x v="15"/>
    <x v="6"/>
    <x v="1"/>
  </r>
  <r>
    <x v="1"/>
    <x v="19"/>
    <s v="Fuel. Co"/>
    <n v="300"/>
    <m/>
    <n v="-300"/>
    <x v="6"/>
    <x v="3"/>
    <x v="1"/>
  </r>
  <r>
    <x v="1"/>
    <x v="19"/>
    <s v="Ground"/>
    <n v="50"/>
    <m/>
    <n v="-50"/>
    <x v="1"/>
    <x v="1"/>
    <x v="1"/>
  </r>
  <r>
    <x v="1"/>
    <x v="20"/>
    <s v="Ground"/>
    <n v="50"/>
    <m/>
    <n v="-50"/>
    <x v="1"/>
    <x v="1"/>
    <x v="1"/>
  </r>
  <r>
    <x v="1"/>
    <x v="21"/>
    <s v="Ground"/>
    <n v="50"/>
    <m/>
    <n v="-50"/>
    <x v="1"/>
    <x v="1"/>
    <x v="1"/>
  </r>
  <r>
    <x v="1"/>
    <x v="22"/>
    <s v="Ground"/>
    <n v="50"/>
    <m/>
    <n v="-50"/>
    <x v="1"/>
    <x v="1"/>
    <x v="1"/>
  </r>
  <r>
    <x v="1"/>
    <x v="23"/>
    <s v="Ground"/>
    <n v="50"/>
    <m/>
    <n v="-50"/>
    <x v="1"/>
    <x v="1"/>
    <x v="1"/>
  </r>
  <r>
    <x v="1"/>
    <x v="23"/>
    <s v="Green's"/>
    <n v="162"/>
    <m/>
    <n v="-162"/>
    <x v="4"/>
    <x v="2"/>
    <x v="1"/>
  </r>
  <r>
    <x v="1"/>
    <x v="24"/>
    <s v="Ticketek"/>
    <n v="1750"/>
    <m/>
    <n v="-1750"/>
    <x v="7"/>
    <x v="4"/>
    <x v="1"/>
  </r>
  <r>
    <x v="1"/>
    <x v="25"/>
    <s v="Fashion"/>
    <n v="145"/>
    <m/>
    <n v="-145"/>
    <x v="8"/>
    <x v="4"/>
    <x v="1"/>
  </r>
  <r>
    <x v="1"/>
    <x v="25"/>
    <s v="Taxi Co."/>
    <n v="120"/>
    <m/>
    <n v="-120"/>
    <x v="10"/>
    <x v="3"/>
    <x v="1"/>
  </r>
  <r>
    <x v="0"/>
    <x v="26"/>
    <s v="ACME Pty Ltd"/>
    <m/>
    <n v="30000"/>
    <n v="30000"/>
    <x v="0"/>
    <x v="0"/>
    <x v="0"/>
  </r>
  <r>
    <x v="1"/>
    <x v="26"/>
    <s v="Ground"/>
    <n v="50"/>
    <m/>
    <n v="-50"/>
    <x v="1"/>
    <x v="1"/>
    <x v="1"/>
  </r>
  <r>
    <x v="0"/>
    <x v="27"/>
    <s v="Estate Mgt."/>
    <n v="6000"/>
    <m/>
    <n v="-6000"/>
    <x v="2"/>
    <x v="2"/>
    <x v="1"/>
  </r>
  <r>
    <x v="0"/>
    <x v="27"/>
    <s v="Finance Co."/>
    <n v="2500"/>
    <m/>
    <n v="-2500"/>
    <x v="3"/>
    <x v="3"/>
    <x v="1"/>
  </r>
  <r>
    <x v="1"/>
    <x v="27"/>
    <s v="Ground"/>
    <n v="50"/>
    <m/>
    <n v="-50"/>
    <x v="1"/>
    <x v="1"/>
    <x v="1"/>
  </r>
  <r>
    <x v="1"/>
    <x v="28"/>
    <s v="Ground"/>
    <n v="50"/>
    <m/>
    <n v="-50"/>
    <x v="1"/>
    <x v="1"/>
    <x v="1"/>
  </r>
  <r>
    <x v="1"/>
    <x v="29"/>
    <s v="Ground"/>
    <n v="50"/>
    <m/>
    <n v="-50"/>
    <x v="1"/>
    <x v="1"/>
    <x v="1"/>
  </r>
  <r>
    <x v="1"/>
    <x v="30"/>
    <s v="Ground"/>
    <n v="50"/>
    <m/>
    <n v="-50"/>
    <x v="1"/>
    <x v="1"/>
    <x v="1"/>
  </r>
  <r>
    <x v="1"/>
    <x v="30"/>
    <s v="Green's"/>
    <n v="205"/>
    <m/>
    <n v="-205"/>
    <x v="4"/>
    <x v="2"/>
    <x v="1"/>
  </r>
  <r>
    <x v="0"/>
    <x v="31"/>
    <s v="Elec. Co."/>
    <n v="950"/>
    <m/>
    <n v="-950"/>
    <x v="5"/>
    <x v="2"/>
    <x v="1"/>
  </r>
  <r>
    <x v="1"/>
    <x v="31"/>
    <s v="Ground"/>
    <n v="50"/>
    <m/>
    <n v="-50"/>
    <x v="1"/>
    <x v="1"/>
    <x v="1"/>
  </r>
  <r>
    <x v="1"/>
    <x v="32"/>
    <s v="Ground"/>
    <n v="50"/>
    <m/>
    <n v="-50"/>
    <x v="1"/>
    <x v="1"/>
    <x v="1"/>
  </r>
  <r>
    <x v="1"/>
    <x v="33"/>
    <s v="Fuel. Co"/>
    <n v="300"/>
    <m/>
    <n v="-300"/>
    <x v="6"/>
    <x v="3"/>
    <x v="1"/>
  </r>
  <r>
    <x v="1"/>
    <x v="33"/>
    <s v="Ground"/>
    <n v="50"/>
    <m/>
    <n v="-50"/>
    <x v="1"/>
    <x v="1"/>
    <x v="1"/>
  </r>
  <r>
    <x v="1"/>
    <x v="34"/>
    <s v="Ground"/>
    <n v="50"/>
    <m/>
    <n v="-50"/>
    <x v="1"/>
    <x v="1"/>
    <x v="1"/>
  </r>
  <r>
    <x v="1"/>
    <x v="35"/>
    <s v="Green's"/>
    <n v="135.9"/>
    <m/>
    <n v="-135.9"/>
    <x v="4"/>
    <x v="2"/>
    <x v="1"/>
  </r>
  <r>
    <x v="1"/>
    <x v="35"/>
    <s v="Ground"/>
    <n v="50"/>
    <m/>
    <n v="-50"/>
    <x v="1"/>
    <x v="1"/>
    <x v="1"/>
  </r>
  <r>
    <x v="1"/>
    <x v="36"/>
    <s v="Ground"/>
    <n v="50"/>
    <m/>
    <n v="-50"/>
    <x v="1"/>
    <x v="1"/>
    <x v="1"/>
  </r>
  <r>
    <x v="1"/>
    <x v="36"/>
    <s v="Event Cinemas"/>
    <n v="140"/>
    <m/>
    <n v="-140"/>
    <x v="7"/>
    <x v="4"/>
    <x v="1"/>
  </r>
  <r>
    <x v="1"/>
    <x v="36"/>
    <s v="Fashion"/>
    <n v="899"/>
    <m/>
    <n v="-899"/>
    <x v="8"/>
    <x v="4"/>
    <x v="1"/>
  </r>
  <r>
    <x v="1"/>
    <x v="36"/>
    <s v="Happy's Grill"/>
    <n v="200"/>
    <m/>
    <n v="-200"/>
    <x v="9"/>
    <x v="1"/>
    <x v="1"/>
  </r>
  <r>
    <x v="1"/>
    <x v="37"/>
    <s v="Taxi Co."/>
    <n v="90"/>
    <m/>
    <n v="-90"/>
    <x v="10"/>
    <x v="3"/>
    <x v="1"/>
  </r>
  <r>
    <x v="0"/>
    <x v="38"/>
    <s v="Muscle Beach"/>
    <n v="300"/>
    <m/>
    <n v="-300"/>
    <x v="11"/>
    <x v="4"/>
    <x v="1"/>
  </r>
  <r>
    <x v="1"/>
    <x v="38"/>
    <s v="Ground"/>
    <n v="50"/>
    <m/>
    <n v="-50"/>
    <x v="1"/>
    <x v="1"/>
    <x v="1"/>
  </r>
  <r>
    <x v="1"/>
    <x v="39"/>
    <s v="Ground"/>
    <n v="50"/>
    <m/>
    <n v="-50"/>
    <x v="1"/>
    <x v="1"/>
    <x v="1"/>
  </r>
  <r>
    <x v="0"/>
    <x v="39"/>
    <s v="Phone Recharge"/>
    <n v="699"/>
    <m/>
    <n v="-699"/>
    <x v="13"/>
    <x v="2"/>
    <x v="1"/>
  </r>
  <r>
    <x v="1"/>
    <x v="40"/>
    <s v="Gifts"/>
    <n v="500"/>
    <m/>
    <n v="-500"/>
    <x v="14"/>
    <x v="4"/>
    <x v="1"/>
  </r>
  <r>
    <x v="1"/>
    <x v="40"/>
    <s v="Streaming Co."/>
    <n v="500"/>
    <m/>
    <n v="-500"/>
    <x v="7"/>
    <x v="4"/>
    <x v="1"/>
  </r>
  <r>
    <x v="1"/>
    <x v="40"/>
    <s v="Ground"/>
    <n v="50"/>
    <m/>
    <n v="-50"/>
    <x v="1"/>
    <x v="1"/>
    <x v="1"/>
  </r>
  <r>
    <x v="1"/>
    <x v="41"/>
    <s v="Ground"/>
    <n v="50"/>
    <m/>
    <n v="-50"/>
    <x v="1"/>
    <x v="1"/>
    <x v="1"/>
  </r>
  <r>
    <x v="1"/>
    <x v="42"/>
    <s v="Ground"/>
    <n v="50"/>
    <m/>
    <n v="-50"/>
    <x v="1"/>
    <x v="1"/>
    <x v="1"/>
  </r>
  <r>
    <x v="1"/>
    <x v="42"/>
    <s v="Green's"/>
    <n v="171"/>
    <m/>
    <n v="-171"/>
    <x v="4"/>
    <x v="2"/>
    <x v="1"/>
  </r>
  <r>
    <x v="1"/>
    <x v="43"/>
    <s v="Pizza Dominos"/>
    <n v="599"/>
    <m/>
    <n v="-599"/>
    <x v="9"/>
    <x v="1"/>
    <x v="1"/>
  </r>
  <r>
    <x v="1"/>
    <x v="44"/>
    <s v="Golden Arches"/>
    <n v="12.9"/>
    <m/>
    <n v="-12.9"/>
    <x v="9"/>
    <x v="1"/>
    <x v="1"/>
  </r>
  <r>
    <x v="0"/>
    <x v="45"/>
    <s v="Worldvision"/>
    <n v="551"/>
    <m/>
    <n v="-551"/>
    <x v="15"/>
    <x v="6"/>
    <x v="1"/>
  </r>
  <r>
    <x v="1"/>
    <x v="45"/>
    <s v="Fuel. Co"/>
    <n v="300"/>
    <m/>
    <n v="-300"/>
    <x v="6"/>
    <x v="3"/>
    <x v="1"/>
  </r>
  <r>
    <x v="1"/>
    <x v="45"/>
    <s v="Ground"/>
    <n v="50"/>
    <m/>
    <n v="-50"/>
    <x v="1"/>
    <x v="1"/>
    <x v="1"/>
  </r>
  <r>
    <x v="1"/>
    <x v="46"/>
    <s v="Ground"/>
    <n v="50"/>
    <m/>
    <n v="-50"/>
    <x v="1"/>
    <x v="1"/>
    <x v="1"/>
  </r>
  <r>
    <x v="1"/>
    <x v="47"/>
    <s v="Ground"/>
    <n v="50"/>
    <m/>
    <n v="-50"/>
    <x v="1"/>
    <x v="1"/>
    <x v="1"/>
  </r>
  <r>
    <x v="1"/>
    <x v="48"/>
    <s v="Ground"/>
    <n v="50"/>
    <m/>
    <n v="-50"/>
    <x v="1"/>
    <x v="1"/>
    <x v="1"/>
  </r>
  <r>
    <x v="1"/>
    <x v="49"/>
    <s v="Ground"/>
    <n v="50"/>
    <m/>
    <n v="-50"/>
    <x v="1"/>
    <x v="1"/>
    <x v="1"/>
  </r>
  <r>
    <x v="1"/>
    <x v="49"/>
    <s v="Green's"/>
    <n v="162.9"/>
    <m/>
    <n v="-162.9"/>
    <x v="4"/>
    <x v="2"/>
    <x v="1"/>
  </r>
  <r>
    <x v="1"/>
    <x v="50"/>
    <s v="Global Fashion"/>
    <n v="1375"/>
    <m/>
    <n v="-1375"/>
    <x v="8"/>
    <x v="4"/>
    <x v="1"/>
  </r>
  <r>
    <x v="1"/>
    <x v="51"/>
    <s v="Fashion"/>
    <n v="146.1"/>
    <m/>
    <n v="-146.1"/>
    <x v="8"/>
    <x v="4"/>
    <x v="1"/>
  </r>
  <r>
    <x v="1"/>
    <x v="51"/>
    <s v="Taxi Co."/>
    <n v="120"/>
    <m/>
    <n v="-120"/>
    <x v="10"/>
    <x v="3"/>
    <x v="1"/>
  </r>
  <r>
    <x v="0"/>
    <x v="52"/>
    <s v="ACME Pty Ltd"/>
    <m/>
    <n v="30000"/>
    <n v="30000"/>
    <x v="0"/>
    <x v="0"/>
    <x v="0"/>
  </r>
  <r>
    <x v="1"/>
    <x v="52"/>
    <s v="Ground"/>
    <n v="50"/>
    <m/>
    <n v="-50"/>
    <x v="1"/>
    <x v="1"/>
    <x v="1"/>
  </r>
  <r>
    <x v="0"/>
    <x v="53"/>
    <s v="Estate Mgt."/>
    <n v="6000"/>
    <m/>
    <n v="-6000"/>
    <x v="2"/>
    <x v="2"/>
    <x v="1"/>
  </r>
  <r>
    <x v="0"/>
    <x v="53"/>
    <s v="Finance Co."/>
    <n v="2500"/>
    <m/>
    <n v="-2500"/>
    <x v="3"/>
    <x v="3"/>
    <x v="1"/>
  </r>
  <r>
    <x v="1"/>
    <x v="53"/>
    <s v="Ground"/>
    <n v="50"/>
    <m/>
    <n v="-50"/>
    <x v="1"/>
    <x v="1"/>
    <x v="1"/>
  </r>
  <r>
    <x v="1"/>
    <x v="54"/>
    <s v="Ground"/>
    <n v="50"/>
    <m/>
    <n v="-50"/>
    <x v="1"/>
    <x v="1"/>
    <x v="1"/>
  </r>
  <r>
    <x v="1"/>
    <x v="55"/>
    <s v="Ground"/>
    <n v="50"/>
    <m/>
    <n v="-50"/>
    <x v="1"/>
    <x v="1"/>
    <x v="1"/>
  </r>
  <r>
    <x v="1"/>
    <x v="56"/>
    <s v="Ground"/>
    <n v="50"/>
    <m/>
    <n v="-50"/>
    <x v="1"/>
    <x v="1"/>
    <x v="1"/>
  </r>
  <r>
    <x v="1"/>
    <x v="56"/>
    <s v="Green's"/>
    <n v="149"/>
    <m/>
    <n v="-149"/>
    <x v="4"/>
    <x v="2"/>
    <x v="1"/>
  </r>
  <r>
    <x v="0"/>
    <x v="57"/>
    <s v="Elec. Co."/>
    <n v="1100"/>
    <m/>
    <n v="-1100"/>
    <x v="5"/>
    <x v="2"/>
    <x v="1"/>
  </r>
  <r>
    <x v="1"/>
    <x v="57"/>
    <s v="Ground"/>
    <n v="50"/>
    <m/>
    <n v="-50"/>
    <x v="1"/>
    <x v="1"/>
    <x v="1"/>
  </r>
  <r>
    <x v="1"/>
    <x v="58"/>
    <s v="Ground"/>
    <n v="50"/>
    <m/>
    <n v="-50"/>
    <x v="1"/>
    <x v="1"/>
    <x v="1"/>
  </r>
  <r>
    <x v="1"/>
    <x v="59"/>
    <s v="Fuel. Co"/>
    <n v="300"/>
    <m/>
    <n v="-300"/>
    <x v="6"/>
    <x v="3"/>
    <x v="1"/>
  </r>
  <r>
    <x v="1"/>
    <x v="59"/>
    <s v="Ground"/>
    <n v="50"/>
    <m/>
    <n v="-50"/>
    <x v="1"/>
    <x v="1"/>
    <x v="1"/>
  </r>
  <r>
    <x v="1"/>
    <x v="60"/>
    <s v="Ground"/>
    <n v="50"/>
    <m/>
    <n v="-50"/>
    <x v="1"/>
    <x v="1"/>
    <x v="1"/>
  </r>
  <r>
    <x v="1"/>
    <x v="61"/>
    <s v="Green's"/>
    <n v="137"/>
    <m/>
    <n v="-137"/>
    <x v="4"/>
    <x v="2"/>
    <x v="1"/>
  </r>
  <r>
    <x v="1"/>
    <x v="61"/>
    <s v="Ground"/>
    <n v="50"/>
    <m/>
    <n v="-50"/>
    <x v="1"/>
    <x v="1"/>
    <x v="1"/>
  </r>
  <r>
    <x v="1"/>
    <x v="62"/>
    <s v="Ground"/>
    <n v="50"/>
    <m/>
    <n v="-50"/>
    <x v="1"/>
    <x v="1"/>
    <x v="1"/>
  </r>
  <r>
    <x v="1"/>
    <x v="62"/>
    <s v="Event Cinemas"/>
    <n v="140"/>
    <m/>
    <n v="-140"/>
    <x v="7"/>
    <x v="4"/>
    <x v="1"/>
  </r>
  <r>
    <x v="1"/>
    <x v="62"/>
    <s v="Fashion"/>
    <n v="599.9"/>
    <m/>
    <n v="-599.9"/>
    <x v="8"/>
    <x v="4"/>
    <x v="1"/>
  </r>
  <r>
    <x v="1"/>
    <x v="62"/>
    <s v="Happy's Grill"/>
    <n v="200"/>
    <m/>
    <n v="-200"/>
    <x v="9"/>
    <x v="1"/>
    <x v="1"/>
  </r>
  <r>
    <x v="1"/>
    <x v="63"/>
    <s v="Taxi Co."/>
    <n v="120"/>
    <m/>
    <n v="-120"/>
    <x v="10"/>
    <x v="3"/>
    <x v="1"/>
  </r>
  <r>
    <x v="0"/>
    <x v="64"/>
    <s v="Muscle Beach"/>
    <n v="300"/>
    <m/>
    <n v="-300"/>
    <x v="11"/>
    <x v="4"/>
    <x v="1"/>
  </r>
  <r>
    <x v="1"/>
    <x v="64"/>
    <s v="Ground"/>
    <n v="50"/>
    <m/>
    <n v="-50"/>
    <x v="1"/>
    <x v="1"/>
    <x v="1"/>
  </r>
  <r>
    <x v="1"/>
    <x v="65"/>
    <s v="Ground"/>
    <n v="50"/>
    <m/>
    <n v="-50"/>
    <x v="1"/>
    <x v="1"/>
    <x v="1"/>
  </r>
  <r>
    <x v="0"/>
    <x v="65"/>
    <s v="Village Medical"/>
    <n v="100"/>
    <m/>
    <n v="-100"/>
    <x v="16"/>
    <x v="5"/>
    <x v="1"/>
  </r>
  <r>
    <x v="0"/>
    <x v="65"/>
    <s v="Phone Recharge"/>
    <n v="699"/>
    <m/>
    <n v="-699"/>
    <x v="13"/>
    <x v="2"/>
    <x v="1"/>
  </r>
  <r>
    <x v="1"/>
    <x v="66"/>
    <s v="Gifts"/>
    <n v="500"/>
    <m/>
    <n v="-500"/>
    <x v="14"/>
    <x v="4"/>
    <x v="1"/>
  </r>
  <r>
    <x v="1"/>
    <x v="66"/>
    <s v="Streaming Co."/>
    <n v="500"/>
    <m/>
    <n v="-500"/>
    <x v="7"/>
    <x v="4"/>
    <x v="1"/>
  </r>
  <r>
    <x v="1"/>
    <x v="66"/>
    <s v="Ground"/>
    <n v="50"/>
    <m/>
    <n v="-50"/>
    <x v="1"/>
    <x v="1"/>
    <x v="1"/>
  </r>
  <r>
    <x v="1"/>
    <x v="67"/>
    <s v="Ground"/>
    <n v="50"/>
    <m/>
    <n v="-50"/>
    <x v="1"/>
    <x v="1"/>
    <x v="1"/>
  </r>
  <r>
    <x v="1"/>
    <x v="68"/>
    <s v="Ground"/>
    <n v="50"/>
    <m/>
    <n v="-50"/>
    <x v="1"/>
    <x v="1"/>
    <x v="1"/>
  </r>
  <r>
    <x v="1"/>
    <x v="68"/>
    <s v="Green's"/>
    <n v="171.9"/>
    <m/>
    <n v="-171.9"/>
    <x v="4"/>
    <x v="2"/>
    <x v="1"/>
  </r>
  <r>
    <x v="1"/>
    <x v="69"/>
    <s v="Pizza Dominos"/>
    <n v="599"/>
    <m/>
    <n v="-599"/>
    <x v="9"/>
    <x v="1"/>
    <x v="1"/>
  </r>
  <r>
    <x v="1"/>
    <x v="70"/>
    <s v="Golden Arches"/>
    <n v="14"/>
    <m/>
    <n v="-14"/>
    <x v="9"/>
    <x v="1"/>
    <x v="1"/>
  </r>
  <r>
    <x v="0"/>
    <x v="71"/>
    <s v="Worldvision"/>
    <n v="551"/>
    <m/>
    <n v="-551"/>
    <x v="15"/>
    <x v="6"/>
    <x v="1"/>
  </r>
  <r>
    <x v="1"/>
    <x v="71"/>
    <s v="Fuel. Co"/>
    <n v="300"/>
    <m/>
    <n v="-300"/>
    <x v="6"/>
    <x v="3"/>
    <x v="1"/>
  </r>
  <r>
    <x v="1"/>
    <x v="71"/>
    <s v="Ground"/>
    <n v="50"/>
    <m/>
    <n v="-50"/>
    <x v="1"/>
    <x v="1"/>
    <x v="1"/>
  </r>
  <r>
    <x v="1"/>
    <x v="72"/>
    <s v="Ground"/>
    <n v="50"/>
    <m/>
    <n v="-50"/>
    <x v="1"/>
    <x v="1"/>
    <x v="1"/>
  </r>
  <r>
    <x v="1"/>
    <x v="73"/>
    <s v="Ground"/>
    <n v="50"/>
    <m/>
    <n v="-50"/>
    <x v="1"/>
    <x v="1"/>
    <x v="1"/>
  </r>
  <r>
    <x v="1"/>
    <x v="74"/>
    <s v="Ground"/>
    <n v="50"/>
    <m/>
    <n v="-50"/>
    <x v="1"/>
    <x v="1"/>
    <x v="1"/>
  </r>
  <r>
    <x v="1"/>
    <x v="75"/>
    <s v="Ground"/>
    <n v="50"/>
    <m/>
    <n v="-50"/>
    <x v="1"/>
    <x v="1"/>
    <x v="1"/>
  </r>
  <r>
    <x v="1"/>
    <x v="75"/>
    <s v="Green's"/>
    <n v="209"/>
    <m/>
    <n v="-209"/>
    <x v="4"/>
    <x v="2"/>
    <x v="1"/>
  </r>
  <r>
    <x v="1"/>
    <x v="76"/>
    <s v="Fashion"/>
    <n v="147.1"/>
    <m/>
    <n v="-147.1"/>
    <x v="8"/>
    <x v="4"/>
    <x v="1"/>
  </r>
  <r>
    <x v="1"/>
    <x v="76"/>
    <s v="Taxi Co."/>
    <n v="140"/>
    <m/>
    <n v="-140"/>
    <x v="10"/>
    <x v="3"/>
    <x v="1"/>
  </r>
  <r>
    <x v="1"/>
    <x v="77"/>
    <s v="Foodary"/>
    <n v="250"/>
    <m/>
    <n v="-250"/>
    <x v="9"/>
    <x v="1"/>
    <x v="1"/>
  </r>
  <r>
    <x v="1"/>
    <x v="78"/>
    <s v="Ground"/>
    <n v="50"/>
    <m/>
    <n v="-50"/>
    <x v="1"/>
    <x v="1"/>
    <x v="1"/>
  </r>
  <r>
    <x v="1"/>
    <x v="79"/>
    <s v="Ground"/>
    <n v="50"/>
    <m/>
    <n v="-50"/>
    <x v="1"/>
    <x v="1"/>
    <x v="1"/>
  </r>
  <r>
    <x v="0"/>
    <x v="80"/>
    <s v="ACME Pty Ltd"/>
    <m/>
    <n v="30000"/>
    <n v="30000"/>
    <x v="0"/>
    <x v="0"/>
    <x v="0"/>
  </r>
  <r>
    <x v="1"/>
    <x v="80"/>
    <s v="Ground"/>
    <n v="50"/>
    <m/>
    <n v="-50"/>
    <x v="1"/>
    <x v="1"/>
    <x v="1"/>
  </r>
  <r>
    <x v="0"/>
    <x v="81"/>
    <s v="Estate Mgt."/>
    <n v="6000"/>
    <m/>
    <n v="-6000"/>
    <x v="2"/>
    <x v="2"/>
    <x v="1"/>
  </r>
  <r>
    <x v="0"/>
    <x v="81"/>
    <s v="Finance Co."/>
    <n v="2500"/>
    <m/>
    <n v="-2500"/>
    <x v="3"/>
    <x v="3"/>
    <x v="1"/>
  </r>
  <r>
    <x v="1"/>
    <x v="81"/>
    <s v="Ground"/>
    <n v="50"/>
    <m/>
    <n v="-50"/>
    <x v="1"/>
    <x v="1"/>
    <x v="1"/>
  </r>
  <r>
    <x v="1"/>
    <x v="82"/>
    <s v="Ground"/>
    <n v="50"/>
    <m/>
    <n v="-50"/>
    <x v="1"/>
    <x v="1"/>
    <x v="1"/>
  </r>
  <r>
    <x v="1"/>
    <x v="83"/>
    <s v="Ground"/>
    <n v="50"/>
    <m/>
    <n v="-50"/>
    <x v="1"/>
    <x v="1"/>
    <x v="1"/>
  </r>
  <r>
    <x v="1"/>
    <x v="84"/>
    <s v="Ground"/>
    <n v="50"/>
    <m/>
    <n v="-50"/>
    <x v="1"/>
    <x v="1"/>
    <x v="1"/>
  </r>
  <r>
    <x v="1"/>
    <x v="84"/>
    <s v="Green's"/>
    <n v="158.19999999999999"/>
    <m/>
    <n v="-158.19999999999999"/>
    <x v="4"/>
    <x v="2"/>
    <x v="1"/>
  </r>
  <r>
    <x v="0"/>
    <x v="85"/>
    <s v="Elec. Co."/>
    <n v="900"/>
    <m/>
    <n v="-900"/>
    <x v="5"/>
    <x v="2"/>
    <x v="1"/>
  </r>
  <r>
    <x v="1"/>
    <x v="85"/>
    <s v="Ground"/>
    <n v="50"/>
    <m/>
    <n v="-50"/>
    <x v="1"/>
    <x v="1"/>
    <x v="1"/>
  </r>
  <r>
    <x v="1"/>
    <x v="86"/>
    <s v="Ground"/>
    <n v="50"/>
    <m/>
    <n v="-50"/>
    <x v="1"/>
    <x v="1"/>
    <x v="1"/>
  </r>
  <r>
    <x v="1"/>
    <x v="87"/>
    <s v="Fuel. Co"/>
    <n v="300"/>
    <m/>
    <n v="-300"/>
    <x v="6"/>
    <x v="3"/>
    <x v="1"/>
  </r>
  <r>
    <x v="1"/>
    <x v="87"/>
    <s v="Ground"/>
    <n v="50"/>
    <m/>
    <n v="-50"/>
    <x v="1"/>
    <x v="1"/>
    <x v="1"/>
  </r>
  <r>
    <x v="1"/>
    <x v="88"/>
    <s v="Ground"/>
    <n v="50"/>
    <m/>
    <n v="-50"/>
    <x v="1"/>
    <x v="1"/>
    <x v="1"/>
  </r>
  <r>
    <x v="1"/>
    <x v="89"/>
    <s v="Green's"/>
    <n v="98"/>
    <m/>
    <n v="-98"/>
    <x v="4"/>
    <x v="2"/>
    <x v="1"/>
  </r>
  <r>
    <x v="1"/>
    <x v="89"/>
    <s v="Ground"/>
    <n v="50"/>
    <m/>
    <n v="-50"/>
    <x v="1"/>
    <x v="1"/>
    <x v="1"/>
  </r>
  <r>
    <x v="1"/>
    <x v="90"/>
    <s v="Ground"/>
    <n v="50"/>
    <m/>
    <n v="-50"/>
    <x v="1"/>
    <x v="1"/>
    <x v="1"/>
  </r>
  <r>
    <x v="1"/>
    <x v="90"/>
    <s v="Event Cinemas"/>
    <n v="140"/>
    <m/>
    <n v="-140"/>
    <x v="7"/>
    <x v="4"/>
    <x v="1"/>
  </r>
  <r>
    <x v="1"/>
    <x v="90"/>
    <s v="Fashion"/>
    <n v="1000.9"/>
    <m/>
    <n v="-1000.9"/>
    <x v="8"/>
    <x v="4"/>
    <x v="1"/>
  </r>
  <r>
    <x v="1"/>
    <x v="90"/>
    <s v="Happy's Grill"/>
    <n v="200"/>
    <m/>
    <n v="-200"/>
    <x v="9"/>
    <x v="1"/>
    <x v="1"/>
  </r>
  <r>
    <x v="1"/>
    <x v="91"/>
    <s v="Taxi Co."/>
    <n v="120"/>
    <m/>
    <n v="-120"/>
    <x v="10"/>
    <x v="3"/>
    <x v="1"/>
  </r>
  <r>
    <x v="0"/>
    <x v="92"/>
    <s v="Muscle Beach"/>
    <n v="300"/>
    <m/>
    <n v="-300"/>
    <x v="11"/>
    <x v="4"/>
    <x v="1"/>
  </r>
  <r>
    <x v="1"/>
    <x v="92"/>
    <s v="Ground"/>
    <n v="50"/>
    <m/>
    <n v="-50"/>
    <x v="1"/>
    <x v="1"/>
    <x v="1"/>
  </r>
  <r>
    <x v="1"/>
    <x v="93"/>
    <s v="Ground"/>
    <n v="50"/>
    <m/>
    <n v="-50"/>
    <x v="1"/>
    <x v="1"/>
    <x v="1"/>
  </r>
  <r>
    <x v="0"/>
    <x v="93"/>
    <s v="Phone Recharge"/>
    <n v="699"/>
    <m/>
    <n v="-699"/>
    <x v="13"/>
    <x v="2"/>
    <x v="1"/>
  </r>
  <r>
    <x v="1"/>
    <x v="94"/>
    <s v="Gifts"/>
    <n v="500"/>
    <m/>
    <n v="-500"/>
    <x v="14"/>
    <x v="4"/>
    <x v="1"/>
  </r>
  <r>
    <x v="1"/>
    <x v="94"/>
    <s v="Streaming Co."/>
    <n v="500"/>
    <m/>
    <n v="-500"/>
    <x v="7"/>
    <x v="4"/>
    <x v="1"/>
  </r>
  <r>
    <x v="1"/>
    <x v="94"/>
    <s v="Ground"/>
    <n v="50"/>
    <m/>
    <n v="-50"/>
    <x v="1"/>
    <x v="1"/>
    <x v="1"/>
  </r>
  <r>
    <x v="1"/>
    <x v="95"/>
    <s v="Ground"/>
    <n v="50"/>
    <m/>
    <n v="-50"/>
    <x v="1"/>
    <x v="1"/>
    <x v="1"/>
  </r>
  <r>
    <x v="1"/>
    <x v="96"/>
    <s v="Ground"/>
    <n v="50"/>
    <m/>
    <n v="-50"/>
    <x v="1"/>
    <x v="1"/>
    <x v="1"/>
  </r>
  <r>
    <x v="1"/>
    <x v="96"/>
    <s v="Green's"/>
    <n v="173"/>
    <m/>
    <n v="-173"/>
    <x v="4"/>
    <x v="2"/>
    <x v="1"/>
  </r>
  <r>
    <x v="1"/>
    <x v="97"/>
    <s v="Pizza Dominos"/>
    <n v="599"/>
    <m/>
    <n v="-599"/>
    <x v="9"/>
    <x v="1"/>
    <x v="1"/>
  </r>
  <r>
    <x v="1"/>
    <x v="98"/>
    <s v="Golden Arches"/>
    <n v="15.1"/>
    <m/>
    <n v="-15.1"/>
    <x v="9"/>
    <x v="1"/>
    <x v="1"/>
  </r>
  <r>
    <x v="0"/>
    <x v="99"/>
    <s v="Worldvision"/>
    <n v="551"/>
    <m/>
    <n v="-551"/>
    <x v="15"/>
    <x v="6"/>
    <x v="1"/>
  </r>
  <r>
    <x v="1"/>
    <x v="99"/>
    <s v="Fuel. Co"/>
    <n v="300"/>
    <m/>
    <n v="-300"/>
    <x v="6"/>
    <x v="3"/>
    <x v="1"/>
  </r>
  <r>
    <x v="1"/>
    <x v="99"/>
    <s v="Ground"/>
    <n v="50"/>
    <m/>
    <n v="-50"/>
    <x v="1"/>
    <x v="1"/>
    <x v="1"/>
  </r>
  <r>
    <x v="1"/>
    <x v="100"/>
    <s v="Ground"/>
    <n v="50"/>
    <m/>
    <n v="-50"/>
    <x v="1"/>
    <x v="1"/>
    <x v="1"/>
  </r>
  <r>
    <x v="1"/>
    <x v="101"/>
    <s v="Ground"/>
    <n v="50"/>
    <m/>
    <n v="-50"/>
    <x v="1"/>
    <x v="1"/>
    <x v="1"/>
  </r>
  <r>
    <x v="1"/>
    <x v="102"/>
    <s v="Ground"/>
    <n v="50"/>
    <m/>
    <n v="-50"/>
    <x v="1"/>
    <x v="1"/>
    <x v="1"/>
  </r>
  <r>
    <x v="1"/>
    <x v="103"/>
    <s v="Ground"/>
    <n v="50"/>
    <m/>
    <n v="-50"/>
    <x v="1"/>
    <x v="1"/>
    <x v="1"/>
  </r>
  <r>
    <x v="1"/>
    <x v="103"/>
    <s v="Green's"/>
    <n v="164.9"/>
    <m/>
    <n v="-164.9"/>
    <x v="4"/>
    <x v="2"/>
    <x v="1"/>
  </r>
  <r>
    <x v="1"/>
    <x v="104"/>
    <s v="Fashion"/>
    <n v="948.1"/>
    <m/>
    <n v="-948.1"/>
    <x v="8"/>
    <x v="4"/>
    <x v="1"/>
  </r>
  <r>
    <x v="1"/>
    <x v="104"/>
    <s v="Taxi Co."/>
    <n v="120"/>
    <m/>
    <n v="-120"/>
    <x v="10"/>
    <x v="3"/>
    <x v="1"/>
  </r>
  <r>
    <x v="1"/>
    <x v="105"/>
    <s v="Foodary"/>
    <n v="250"/>
    <m/>
    <n v="-250"/>
    <x v="9"/>
    <x v="1"/>
    <x v="1"/>
  </r>
  <r>
    <x v="1"/>
    <x v="105"/>
    <s v="Ground"/>
    <n v="50"/>
    <m/>
    <n v="-50"/>
    <x v="1"/>
    <x v="1"/>
    <x v="1"/>
  </r>
  <r>
    <x v="1"/>
    <x v="106"/>
    <s v="Ground"/>
    <n v="50"/>
    <m/>
    <n v="-50"/>
    <x v="1"/>
    <x v="1"/>
    <x v="1"/>
  </r>
  <r>
    <x v="1"/>
    <x v="107"/>
    <s v="Ground"/>
    <n v="50"/>
    <m/>
    <n v="-50"/>
    <x v="1"/>
    <x v="1"/>
    <x v="1"/>
  </r>
  <r>
    <x v="0"/>
    <x v="108"/>
    <s v="ACME Pty Ltd"/>
    <m/>
    <n v="30000"/>
    <n v="30000"/>
    <x v="0"/>
    <x v="0"/>
    <x v="0"/>
  </r>
  <r>
    <x v="0"/>
    <x v="108"/>
    <s v="Estate Mgt."/>
    <n v="6000"/>
    <m/>
    <n v="-6000"/>
    <x v="2"/>
    <x v="2"/>
    <x v="1"/>
  </r>
  <r>
    <x v="0"/>
    <x v="108"/>
    <s v="Finance Co."/>
    <n v="2500"/>
    <m/>
    <n v="-2500"/>
    <x v="3"/>
    <x v="3"/>
    <x v="1"/>
  </r>
  <r>
    <x v="1"/>
    <x v="108"/>
    <s v="Ground"/>
    <n v="50"/>
    <m/>
    <n v="-50"/>
    <x v="1"/>
    <x v="1"/>
    <x v="1"/>
  </r>
  <r>
    <x v="1"/>
    <x v="109"/>
    <s v="Ground"/>
    <n v="50"/>
    <m/>
    <n v="-50"/>
    <x v="1"/>
    <x v="1"/>
    <x v="1"/>
  </r>
  <r>
    <x v="1"/>
    <x v="110"/>
    <s v="Ground"/>
    <n v="50"/>
    <m/>
    <n v="-50"/>
    <x v="1"/>
    <x v="1"/>
    <x v="1"/>
  </r>
  <r>
    <x v="1"/>
    <x v="111"/>
    <s v="Ground"/>
    <n v="50"/>
    <m/>
    <n v="-50"/>
    <x v="1"/>
    <x v="1"/>
    <x v="1"/>
  </r>
  <r>
    <x v="1"/>
    <x v="111"/>
    <s v="Green's"/>
    <n v="170"/>
    <m/>
    <n v="-170"/>
    <x v="4"/>
    <x v="2"/>
    <x v="1"/>
  </r>
  <r>
    <x v="0"/>
    <x v="112"/>
    <s v="Elec. Co."/>
    <n v="980"/>
    <m/>
    <n v="-980"/>
    <x v="5"/>
    <x v="2"/>
    <x v="1"/>
  </r>
  <r>
    <x v="1"/>
    <x v="112"/>
    <s v="Ground"/>
    <n v="50"/>
    <m/>
    <n v="-50"/>
    <x v="1"/>
    <x v="1"/>
    <x v="1"/>
  </r>
  <r>
    <x v="1"/>
    <x v="113"/>
    <s v="Ground"/>
    <n v="50"/>
    <m/>
    <n v="-50"/>
    <x v="1"/>
    <x v="1"/>
    <x v="1"/>
  </r>
  <r>
    <x v="1"/>
    <x v="114"/>
    <s v="Fuel. Co"/>
    <n v="300"/>
    <m/>
    <n v="-300"/>
    <x v="6"/>
    <x v="3"/>
    <x v="1"/>
  </r>
  <r>
    <x v="1"/>
    <x v="114"/>
    <s v="Ground"/>
    <n v="50"/>
    <m/>
    <n v="-50"/>
    <x v="1"/>
    <x v="1"/>
    <x v="1"/>
  </r>
  <r>
    <x v="1"/>
    <x v="115"/>
    <s v="Ground"/>
    <n v="50"/>
    <m/>
    <n v="-50"/>
    <x v="1"/>
    <x v="1"/>
    <x v="1"/>
  </r>
  <r>
    <x v="1"/>
    <x v="116"/>
    <s v="Green's"/>
    <n v="139.1"/>
    <m/>
    <n v="-139.1"/>
    <x v="4"/>
    <x v="2"/>
    <x v="1"/>
  </r>
  <r>
    <x v="1"/>
    <x v="116"/>
    <s v="Ground"/>
    <n v="50"/>
    <m/>
    <n v="-50"/>
    <x v="1"/>
    <x v="1"/>
    <x v="1"/>
  </r>
  <r>
    <x v="1"/>
    <x v="117"/>
    <s v="Ground"/>
    <n v="50"/>
    <m/>
    <n v="-50"/>
    <x v="1"/>
    <x v="1"/>
    <x v="1"/>
  </r>
  <r>
    <x v="1"/>
    <x v="117"/>
    <s v="Event Cinemas"/>
    <n v="140"/>
    <m/>
    <n v="-140"/>
    <x v="7"/>
    <x v="4"/>
    <x v="1"/>
  </r>
  <r>
    <x v="1"/>
    <x v="117"/>
    <s v="Fashion"/>
    <n v="1012.8"/>
    <m/>
    <n v="-1012.8"/>
    <x v="8"/>
    <x v="4"/>
    <x v="1"/>
  </r>
  <r>
    <x v="1"/>
    <x v="117"/>
    <s v="Happy's Grill"/>
    <n v="200"/>
    <m/>
    <n v="-200"/>
    <x v="9"/>
    <x v="1"/>
    <x v="1"/>
  </r>
  <r>
    <x v="1"/>
    <x v="118"/>
    <s v="Taxi Co."/>
    <n v="50"/>
    <m/>
    <n v="-50"/>
    <x v="10"/>
    <x v="3"/>
    <x v="1"/>
  </r>
  <r>
    <x v="0"/>
    <x v="119"/>
    <s v="Muscle Beach"/>
    <n v="300"/>
    <m/>
    <n v="-300"/>
    <x v="11"/>
    <x v="4"/>
    <x v="1"/>
  </r>
  <r>
    <x v="1"/>
    <x v="119"/>
    <s v="Ground"/>
    <n v="50"/>
    <m/>
    <n v="-50"/>
    <x v="1"/>
    <x v="1"/>
    <x v="1"/>
  </r>
  <r>
    <x v="1"/>
    <x v="120"/>
    <s v="Ground"/>
    <n v="50"/>
    <m/>
    <n v="-50"/>
    <x v="1"/>
    <x v="1"/>
    <x v="1"/>
  </r>
  <r>
    <x v="0"/>
    <x v="120"/>
    <s v="Village Medical"/>
    <n v="100"/>
    <m/>
    <n v="-100"/>
    <x v="16"/>
    <x v="5"/>
    <x v="1"/>
  </r>
  <r>
    <x v="0"/>
    <x v="120"/>
    <s v="Phone Recharge"/>
    <n v="699"/>
    <m/>
    <n v="-699"/>
    <x v="13"/>
    <x v="2"/>
    <x v="1"/>
  </r>
  <r>
    <x v="1"/>
    <x v="121"/>
    <s v="Gifts"/>
    <n v="500"/>
    <m/>
    <n v="-500"/>
    <x v="14"/>
    <x v="4"/>
    <x v="1"/>
  </r>
  <r>
    <x v="1"/>
    <x v="121"/>
    <s v="Streaming Co."/>
    <n v="500"/>
    <m/>
    <n v="-500"/>
    <x v="7"/>
    <x v="4"/>
    <x v="1"/>
  </r>
  <r>
    <x v="1"/>
    <x v="121"/>
    <s v="Ground"/>
    <n v="50"/>
    <m/>
    <n v="-50"/>
    <x v="1"/>
    <x v="1"/>
    <x v="1"/>
  </r>
  <r>
    <x v="1"/>
    <x v="122"/>
    <s v="Ground"/>
    <n v="50"/>
    <m/>
    <n v="-50"/>
    <x v="1"/>
    <x v="1"/>
    <x v="1"/>
  </r>
  <r>
    <x v="1"/>
    <x v="123"/>
    <s v="Ground"/>
    <n v="50"/>
    <m/>
    <n v="-50"/>
    <x v="1"/>
    <x v="1"/>
    <x v="1"/>
  </r>
  <r>
    <x v="1"/>
    <x v="123"/>
    <s v="Green's"/>
    <n v="174"/>
    <m/>
    <n v="-174"/>
    <x v="4"/>
    <x v="2"/>
    <x v="1"/>
  </r>
  <r>
    <x v="1"/>
    <x v="124"/>
    <s v="Pizza Dominos"/>
    <n v="599"/>
    <m/>
    <n v="-599"/>
    <x v="9"/>
    <x v="1"/>
    <x v="1"/>
  </r>
  <r>
    <x v="1"/>
    <x v="125"/>
    <s v="Golden Arches"/>
    <n v="16.2"/>
    <m/>
    <n v="-16.2"/>
    <x v="9"/>
    <x v="1"/>
    <x v="1"/>
  </r>
  <r>
    <x v="0"/>
    <x v="126"/>
    <s v="Worldvision"/>
    <n v="551"/>
    <m/>
    <n v="-551"/>
    <x v="15"/>
    <x v="6"/>
    <x v="1"/>
  </r>
  <r>
    <x v="1"/>
    <x v="126"/>
    <s v="Fuel. Co"/>
    <n v="300"/>
    <m/>
    <n v="-300"/>
    <x v="6"/>
    <x v="3"/>
    <x v="1"/>
  </r>
  <r>
    <x v="1"/>
    <x v="126"/>
    <s v="Ground"/>
    <n v="50"/>
    <m/>
    <n v="-50"/>
    <x v="1"/>
    <x v="1"/>
    <x v="1"/>
  </r>
  <r>
    <x v="1"/>
    <x v="127"/>
    <s v="Ground"/>
    <n v="50"/>
    <m/>
    <n v="-50"/>
    <x v="1"/>
    <x v="1"/>
    <x v="1"/>
  </r>
  <r>
    <x v="1"/>
    <x v="128"/>
    <s v="Ground"/>
    <n v="50"/>
    <m/>
    <n v="-50"/>
    <x v="1"/>
    <x v="1"/>
    <x v="1"/>
  </r>
  <r>
    <x v="1"/>
    <x v="129"/>
    <s v="Ground"/>
    <n v="50"/>
    <m/>
    <n v="-50"/>
    <x v="1"/>
    <x v="1"/>
    <x v="1"/>
  </r>
  <r>
    <x v="1"/>
    <x v="130"/>
    <s v="Ground"/>
    <n v="50"/>
    <m/>
    <n v="-50"/>
    <x v="1"/>
    <x v="1"/>
    <x v="1"/>
  </r>
  <r>
    <x v="1"/>
    <x v="130"/>
    <s v="Green's"/>
    <n v="165.8"/>
    <m/>
    <n v="-165.8"/>
    <x v="4"/>
    <x v="2"/>
    <x v="1"/>
  </r>
  <r>
    <x v="1"/>
    <x v="131"/>
    <s v="Home Decorator"/>
    <n v="2350"/>
    <m/>
    <n v="-2350"/>
    <x v="17"/>
    <x v="4"/>
    <x v="1"/>
  </r>
  <r>
    <x v="1"/>
    <x v="132"/>
    <s v="Fashion"/>
    <n v="1499.2"/>
    <m/>
    <n v="-1499.2"/>
    <x v="8"/>
    <x v="4"/>
    <x v="1"/>
  </r>
  <r>
    <x v="1"/>
    <x v="132"/>
    <s v="Taxi Co."/>
    <n v="120"/>
    <m/>
    <n v="-120"/>
    <x v="10"/>
    <x v="3"/>
    <x v="1"/>
  </r>
  <r>
    <x v="1"/>
    <x v="133"/>
    <s v="Foodary"/>
    <n v="250"/>
    <m/>
    <n v="-250"/>
    <x v="9"/>
    <x v="1"/>
    <x v="1"/>
  </r>
  <r>
    <x v="1"/>
    <x v="134"/>
    <s v="Ground"/>
    <n v="50"/>
    <m/>
    <n v="-50"/>
    <x v="1"/>
    <x v="1"/>
    <x v="1"/>
  </r>
  <r>
    <x v="1"/>
    <x v="133"/>
    <s v="Ground"/>
    <n v="50"/>
    <m/>
    <n v="-50"/>
    <x v="1"/>
    <x v="1"/>
    <x v="1"/>
  </r>
  <r>
    <x v="0"/>
    <x v="135"/>
    <s v="ACME Pty Ltd"/>
    <m/>
    <n v="30000"/>
    <n v="30000"/>
    <x v="0"/>
    <x v="0"/>
    <x v="0"/>
  </r>
  <r>
    <x v="1"/>
    <x v="136"/>
    <s v="Ground"/>
    <n v="50"/>
    <m/>
    <n v="-50"/>
    <x v="1"/>
    <x v="1"/>
    <x v="1"/>
  </r>
  <r>
    <x v="0"/>
    <x v="136"/>
    <s v="Estate Mgt."/>
    <n v="6000"/>
    <m/>
    <n v="-6000"/>
    <x v="2"/>
    <x v="2"/>
    <x v="1"/>
  </r>
  <r>
    <x v="0"/>
    <x v="136"/>
    <s v="Finance Co."/>
    <n v="2500"/>
    <m/>
    <n v="-2500"/>
    <x v="3"/>
    <x v="3"/>
    <x v="1"/>
  </r>
  <r>
    <x v="1"/>
    <x v="136"/>
    <s v="Ground"/>
    <n v="50"/>
    <m/>
    <n v="-50"/>
    <x v="1"/>
    <x v="1"/>
    <x v="1"/>
  </r>
  <r>
    <x v="1"/>
    <x v="137"/>
    <s v="Ground"/>
    <n v="50"/>
    <m/>
    <n v="-50"/>
    <x v="1"/>
    <x v="1"/>
    <x v="1"/>
  </r>
  <r>
    <x v="1"/>
    <x v="138"/>
    <s v="Ground"/>
    <n v="50"/>
    <m/>
    <n v="-50"/>
    <x v="1"/>
    <x v="1"/>
    <x v="1"/>
  </r>
  <r>
    <x v="1"/>
    <x v="139"/>
    <s v="Ground"/>
    <n v="50"/>
    <m/>
    <n v="-50"/>
    <x v="1"/>
    <x v="1"/>
    <x v="1"/>
  </r>
  <r>
    <x v="1"/>
    <x v="139"/>
    <s v="Green's"/>
    <n v="119"/>
    <m/>
    <n v="-119"/>
    <x v="4"/>
    <x v="2"/>
    <x v="1"/>
  </r>
  <r>
    <x v="0"/>
    <x v="140"/>
    <s v="Elec. Co."/>
    <n v="1000"/>
    <m/>
    <n v="-1000"/>
    <x v="5"/>
    <x v="2"/>
    <x v="1"/>
  </r>
  <r>
    <x v="1"/>
    <x v="140"/>
    <s v="Ground"/>
    <n v="50"/>
    <m/>
    <n v="-50"/>
    <x v="1"/>
    <x v="1"/>
    <x v="1"/>
  </r>
  <r>
    <x v="1"/>
    <x v="141"/>
    <s v="Ground"/>
    <n v="50"/>
    <m/>
    <n v="-50"/>
    <x v="1"/>
    <x v="1"/>
    <x v="1"/>
  </r>
  <r>
    <x v="1"/>
    <x v="142"/>
    <s v="Fuel. Co"/>
    <n v="300"/>
    <m/>
    <n v="-300"/>
    <x v="6"/>
    <x v="3"/>
    <x v="1"/>
  </r>
  <r>
    <x v="1"/>
    <x v="142"/>
    <s v="Ground"/>
    <n v="50"/>
    <m/>
    <n v="-50"/>
    <x v="1"/>
    <x v="1"/>
    <x v="1"/>
  </r>
  <r>
    <x v="1"/>
    <x v="143"/>
    <s v="Ground"/>
    <n v="50"/>
    <m/>
    <n v="-50"/>
    <x v="1"/>
    <x v="1"/>
    <x v="1"/>
  </r>
  <r>
    <x v="1"/>
    <x v="144"/>
    <s v="Green's"/>
    <n v="140.19999999999999"/>
    <m/>
    <n v="-140.19999999999999"/>
    <x v="4"/>
    <x v="2"/>
    <x v="1"/>
  </r>
  <r>
    <x v="1"/>
    <x v="144"/>
    <s v="Ground"/>
    <n v="50"/>
    <m/>
    <n v="-50"/>
    <x v="1"/>
    <x v="1"/>
    <x v="1"/>
  </r>
  <r>
    <x v="1"/>
    <x v="145"/>
    <s v="Ground"/>
    <n v="50"/>
    <m/>
    <n v="-50"/>
    <x v="1"/>
    <x v="1"/>
    <x v="1"/>
  </r>
  <r>
    <x v="1"/>
    <x v="145"/>
    <s v="Event Cinemas"/>
    <n v="140"/>
    <m/>
    <n v="-140"/>
    <x v="7"/>
    <x v="4"/>
    <x v="1"/>
  </r>
  <r>
    <x v="1"/>
    <x v="145"/>
    <s v="Fashion"/>
    <n v="1102.9000000000001"/>
    <m/>
    <n v="-1102.9000000000001"/>
    <x v="8"/>
    <x v="4"/>
    <x v="1"/>
  </r>
  <r>
    <x v="1"/>
    <x v="145"/>
    <s v="Happy's Grill"/>
    <n v="200"/>
    <m/>
    <n v="-200"/>
    <x v="9"/>
    <x v="1"/>
    <x v="1"/>
  </r>
  <r>
    <x v="1"/>
    <x v="146"/>
    <s v="Taxi Co."/>
    <n v="120"/>
    <m/>
    <n v="-120"/>
    <x v="10"/>
    <x v="3"/>
    <x v="1"/>
  </r>
  <r>
    <x v="0"/>
    <x v="147"/>
    <s v="Muscle Beach"/>
    <n v="300"/>
    <m/>
    <n v="-300"/>
    <x v="11"/>
    <x v="4"/>
    <x v="1"/>
  </r>
  <r>
    <x v="1"/>
    <x v="147"/>
    <s v="Ground"/>
    <n v="50"/>
    <m/>
    <n v="-50"/>
    <x v="1"/>
    <x v="1"/>
    <x v="1"/>
  </r>
  <r>
    <x v="1"/>
    <x v="148"/>
    <s v="Ground"/>
    <n v="50"/>
    <m/>
    <n v="-50"/>
    <x v="1"/>
    <x v="1"/>
    <x v="1"/>
  </r>
  <r>
    <x v="0"/>
    <x v="148"/>
    <s v="Phone Recharge"/>
    <n v="699"/>
    <m/>
    <n v="-699"/>
    <x v="13"/>
    <x v="2"/>
    <x v="1"/>
  </r>
  <r>
    <x v="1"/>
    <x v="149"/>
    <s v="Gifts"/>
    <n v="500"/>
    <m/>
    <n v="-500"/>
    <x v="14"/>
    <x v="4"/>
    <x v="1"/>
  </r>
  <r>
    <x v="1"/>
    <x v="149"/>
    <s v="Streaming Co."/>
    <n v="500"/>
    <m/>
    <n v="-500"/>
    <x v="7"/>
    <x v="4"/>
    <x v="1"/>
  </r>
  <r>
    <x v="1"/>
    <x v="149"/>
    <s v="Ground"/>
    <n v="50"/>
    <m/>
    <n v="-50"/>
    <x v="1"/>
    <x v="1"/>
    <x v="1"/>
  </r>
  <r>
    <x v="1"/>
    <x v="150"/>
    <s v="Ground"/>
    <n v="50"/>
    <m/>
    <n v="-50"/>
    <x v="1"/>
    <x v="1"/>
    <x v="1"/>
  </r>
  <r>
    <x v="1"/>
    <x v="151"/>
    <s v="Ground"/>
    <n v="50"/>
    <m/>
    <n v="-50"/>
    <x v="1"/>
    <x v="1"/>
    <x v="1"/>
  </r>
  <r>
    <x v="1"/>
    <x v="151"/>
    <s v="Green's"/>
    <n v="234"/>
    <m/>
    <n v="-234"/>
    <x v="4"/>
    <x v="2"/>
    <x v="1"/>
  </r>
  <r>
    <x v="1"/>
    <x v="152"/>
    <s v="Pizza Dominos"/>
    <n v="599"/>
    <m/>
    <n v="-599"/>
    <x v="9"/>
    <x v="1"/>
    <x v="1"/>
  </r>
  <r>
    <x v="1"/>
    <x v="153"/>
    <s v="Golden Arches"/>
    <n v="17.099999999999998"/>
    <m/>
    <n v="-17.099999999999998"/>
    <x v="9"/>
    <x v="1"/>
    <x v="1"/>
  </r>
  <r>
    <x v="0"/>
    <x v="154"/>
    <s v="Worldvision"/>
    <n v="551"/>
    <m/>
    <n v="-551"/>
    <x v="15"/>
    <x v="6"/>
    <x v="1"/>
  </r>
  <r>
    <x v="1"/>
    <x v="154"/>
    <s v="Fuel. Co"/>
    <n v="300"/>
    <m/>
    <n v="-300"/>
    <x v="6"/>
    <x v="3"/>
    <x v="1"/>
  </r>
  <r>
    <x v="1"/>
    <x v="154"/>
    <s v="Ground"/>
    <n v="50"/>
    <m/>
    <n v="-50"/>
    <x v="1"/>
    <x v="1"/>
    <x v="1"/>
  </r>
  <r>
    <x v="1"/>
    <x v="155"/>
    <s v="Ground"/>
    <n v="50"/>
    <m/>
    <n v="-50"/>
    <x v="1"/>
    <x v="1"/>
    <x v="1"/>
  </r>
  <r>
    <x v="1"/>
    <x v="156"/>
    <s v="Ground"/>
    <n v="50"/>
    <m/>
    <n v="-50"/>
    <x v="1"/>
    <x v="1"/>
    <x v="1"/>
  </r>
  <r>
    <x v="1"/>
    <x v="157"/>
    <s v="Ground"/>
    <n v="50"/>
    <m/>
    <n v="-50"/>
    <x v="1"/>
    <x v="1"/>
    <x v="1"/>
  </r>
  <r>
    <x v="1"/>
    <x v="158"/>
    <s v="Ground"/>
    <n v="50"/>
    <m/>
    <n v="-50"/>
    <x v="1"/>
    <x v="1"/>
    <x v="1"/>
  </r>
  <r>
    <x v="1"/>
    <x v="158"/>
    <s v="Green's"/>
    <n v="166.9"/>
    <m/>
    <n v="-166.9"/>
    <x v="4"/>
    <x v="2"/>
    <x v="1"/>
  </r>
  <r>
    <x v="1"/>
    <x v="159"/>
    <s v="Ticketek"/>
    <n v="1800.3"/>
    <m/>
    <n v="-1800.3"/>
    <x v="7"/>
    <x v="4"/>
    <x v="1"/>
  </r>
  <r>
    <x v="1"/>
    <x v="160"/>
    <s v="Fashion"/>
    <n v="350.1"/>
    <m/>
    <n v="-350.1"/>
    <x v="8"/>
    <x v="4"/>
    <x v="1"/>
  </r>
  <r>
    <x v="1"/>
    <x v="160"/>
    <s v="Taxi Co."/>
    <n v="120"/>
    <m/>
    <n v="-120"/>
    <x v="10"/>
    <x v="3"/>
    <x v="1"/>
  </r>
  <r>
    <x v="1"/>
    <x v="160"/>
    <s v="Foodary"/>
    <n v="250"/>
    <m/>
    <n v="-250"/>
    <x v="9"/>
    <x v="1"/>
    <x v="1"/>
  </r>
  <r>
    <x v="1"/>
    <x v="161"/>
    <s v="Ground"/>
    <n v="50"/>
    <m/>
    <n v="-50"/>
    <x v="1"/>
    <x v="1"/>
    <x v="1"/>
  </r>
  <r>
    <x v="1"/>
    <x v="162"/>
    <s v="Ground"/>
    <n v="50"/>
    <m/>
    <n v="-50"/>
    <x v="1"/>
    <x v="1"/>
    <x v="1"/>
  </r>
  <r>
    <x v="0"/>
    <x v="163"/>
    <s v="ACME Pty Ltd"/>
    <m/>
    <n v="30000"/>
    <n v="30000"/>
    <x v="0"/>
    <x v="0"/>
    <x v="0"/>
  </r>
  <r>
    <x v="1"/>
    <x v="164"/>
    <s v="Ground"/>
    <n v="50"/>
    <m/>
    <n v="-50"/>
    <x v="1"/>
    <x v="1"/>
    <x v="1"/>
  </r>
  <r>
    <x v="0"/>
    <x v="165"/>
    <s v="Estate Mgt."/>
    <n v="6000"/>
    <m/>
    <n v="-6000"/>
    <x v="2"/>
    <x v="2"/>
    <x v="1"/>
  </r>
  <r>
    <x v="0"/>
    <x v="165"/>
    <s v="Finance Co."/>
    <n v="2500"/>
    <m/>
    <n v="-2500"/>
    <x v="3"/>
    <x v="3"/>
    <x v="1"/>
  </r>
  <r>
    <x v="1"/>
    <x v="165"/>
    <s v="Ground"/>
    <n v="50"/>
    <m/>
    <n v="-50"/>
    <x v="1"/>
    <x v="1"/>
    <x v="1"/>
  </r>
  <r>
    <x v="1"/>
    <x v="166"/>
    <s v="Ground"/>
    <n v="50"/>
    <m/>
    <n v="-50"/>
    <x v="1"/>
    <x v="1"/>
    <x v="1"/>
  </r>
  <r>
    <x v="1"/>
    <x v="167"/>
    <s v="Ground"/>
    <n v="50"/>
    <m/>
    <n v="-50"/>
    <x v="1"/>
    <x v="1"/>
    <x v="1"/>
  </r>
  <r>
    <x v="1"/>
    <x v="167"/>
    <s v="Green's"/>
    <n v="180"/>
    <m/>
    <n v="-180"/>
    <x v="4"/>
    <x v="2"/>
    <x v="1"/>
  </r>
  <r>
    <x v="0"/>
    <x v="168"/>
    <s v="Elec. Co."/>
    <n v="1100"/>
    <m/>
    <n v="-1100"/>
    <x v="5"/>
    <x v="2"/>
    <x v="1"/>
  </r>
  <r>
    <x v="1"/>
    <x v="168"/>
    <s v="Ground"/>
    <n v="50"/>
    <m/>
    <n v="-50"/>
    <x v="1"/>
    <x v="1"/>
    <x v="1"/>
  </r>
  <r>
    <x v="1"/>
    <x v="169"/>
    <s v="Ground"/>
    <n v="50"/>
    <m/>
    <n v="-50"/>
    <x v="1"/>
    <x v="1"/>
    <x v="1"/>
  </r>
  <r>
    <x v="1"/>
    <x v="170"/>
    <s v="Fuel. Co"/>
    <n v="300"/>
    <m/>
    <n v="-300"/>
    <x v="6"/>
    <x v="3"/>
    <x v="1"/>
  </r>
  <r>
    <x v="1"/>
    <x v="170"/>
    <s v="Ground"/>
    <n v="50"/>
    <m/>
    <n v="-50"/>
    <x v="1"/>
    <x v="1"/>
    <x v="1"/>
  </r>
  <r>
    <x v="1"/>
    <x v="171"/>
    <s v="Ground"/>
    <n v="50"/>
    <m/>
    <n v="-50"/>
    <x v="1"/>
    <x v="1"/>
    <x v="1"/>
  </r>
  <r>
    <x v="1"/>
    <x v="172"/>
    <s v="Green's"/>
    <n v="141.1"/>
    <m/>
    <n v="-141.1"/>
    <x v="4"/>
    <x v="2"/>
    <x v="1"/>
  </r>
  <r>
    <x v="1"/>
    <x v="172"/>
    <s v="Ground"/>
    <n v="50"/>
    <m/>
    <n v="-50"/>
    <x v="1"/>
    <x v="1"/>
    <x v="1"/>
  </r>
  <r>
    <x v="1"/>
    <x v="173"/>
    <s v="Ground"/>
    <n v="50"/>
    <m/>
    <n v="-50"/>
    <x v="1"/>
    <x v="1"/>
    <x v="1"/>
  </r>
  <r>
    <x v="1"/>
    <x v="173"/>
    <s v="Event Cinemas"/>
    <n v="140"/>
    <m/>
    <n v="-140"/>
    <x v="7"/>
    <x v="4"/>
    <x v="1"/>
  </r>
  <r>
    <x v="1"/>
    <x v="173"/>
    <s v="Fashion"/>
    <n v="1000.8"/>
    <m/>
    <n v="-1000.8"/>
    <x v="8"/>
    <x v="4"/>
    <x v="1"/>
  </r>
  <r>
    <x v="1"/>
    <x v="173"/>
    <s v="Happy's Grill"/>
    <n v="200"/>
    <m/>
    <n v="-200"/>
    <x v="9"/>
    <x v="1"/>
    <x v="1"/>
  </r>
  <r>
    <x v="1"/>
    <x v="174"/>
    <s v="Taxi Co."/>
    <n v="130"/>
    <m/>
    <n v="-130"/>
    <x v="10"/>
    <x v="3"/>
    <x v="1"/>
  </r>
  <r>
    <x v="0"/>
    <x v="175"/>
    <s v="Muscle Beach"/>
    <n v="300"/>
    <m/>
    <n v="-300"/>
    <x v="11"/>
    <x v="4"/>
    <x v="1"/>
  </r>
  <r>
    <x v="1"/>
    <x v="175"/>
    <s v="Ground"/>
    <n v="50"/>
    <m/>
    <n v="-50"/>
    <x v="1"/>
    <x v="1"/>
    <x v="1"/>
  </r>
  <r>
    <x v="1"/>
    <x v="176"/>
    <s v="Ground"/>
    <n v="50"/>
    <m/>
    <n v="-50"/>
    <x v="1"/>
    <x v="1"/>
    <x v="1"/>
  </r>
  <r>
    <x v="0"/>
    <x v="176"/>
    <s v="Phone Recharge"/>
    <n v="699"/>
    <m/>
    <n v="-699"/>
    <x v="13"/>
    <x v="2"/>
    <x v="1"/>
  </r>
  <r>
    <x v="1"/>
    <x v="177"/>
    <s v="Gifts"/>
    <n v="500"/>
    <m/>
    <n v="-500"/>
    <x v="14"/>
    <x v="4"/>
    <x v="1"/>
  </r>
  <r>
    <x v="1"/>
    <x v="177"/>
    <s v="Streaming Co."/>
    <n v="500"/>
    <m/>
    <n v="-500"/>
    <x v="7"/>
    <x v="4"/>
    <x v="1"/>
  </r>
  <r>
    <x v="1"/>
    <x v="177"/>
    <s v="Ground"/>
    <n v="50"/>
    <m/>
    <n v="-50"/>
    <x v="1"/>
    <x v="1"/>
    <x v="1"/>
  </r>
  <r>
    <x v="1"/>
    <x v="178"/>
    <s v="Ground"/>
    <n v="50"/>
    <m/>
    <n v="-50"/>
    <x v="1"/>
    <x v="1"/>
    <x v="1"/>
  </r>
  <r>
    <x v="1"/>
    <x v="179"/>
    <s v="Ground"/>
    <n v="50"/>
    <m/>
    <n v="-50"/>
    <x v="1"/>
    <x v="1"/>
    <x v="1"/>
  </r>
  <r>
    <x v="1"/>
    <x v="179"/>
    <s v="Green's"/>
    <n v="176"/>
    <m/>
    <n v="-176"/>
    <x v="4"/>
    <x v="2"/>
    <x v="1"/>
  </r>
  <r>
    <x v="1"/>
    <x v="180"/>
    <s v="Pizza Dominos"/>
    <n v="599"/>
    <m/>
    <n v="-599"/>
    <x v="9"/>
    <x v="1"/>
    <x v="1"/>
  </r>
  <r>
    <x v="1"/>
    <x v="181"/>
    <s v="Golden Arches"/>
    <n v="18.2"/>
    <m/>
    <n v="-18.2"/>
    <x v="9"/>
    <x v="1"/>
    <x v="1"/>
  </r>
  <r>
    <x v="0"/>
    <x v="182"/>
    <s v="Worldvision"/>
    <n v="551"/>
    <m/>
    <n v="-551"/>
    <x v="15"/>
    <x v="6"/>
    <x v="1"/>
  </r>
  <r>
    <x v="1"/>
    <x v="182"/>
    <s v="Fuel. Co"/>
    <n v="300"/>
    <m/>
    <n v="-300"/>
    <x v="6"/>
    <x v="3"/>
    <x v="1"/>
  </r>
  <r>
    <x v="1"/>
    <x v="182"/>
    <s v="Ground"/>
    <n v="50"/>
    <m/>
    <n v="-50"/>
    <x v="1"/>
    <x v="1"/>
    <x v="1"/>
  </r>
  <r>
    <x v="1"/>
    <x v="183"/>
    <s v="Ground"/>
    <n v="50"/>
    <m/>
    <n v="-50"/>
    <x v="1"/>
    <x v="1"/>
    <x v="1"/>
  </r>
  <r>
    <x v="1"/>
    <x v="184"/>
    <s v="Ground"/>
    <n v="50"/>
    <m/>
    <n v="-50"/>
    <x v="1"/>
    <x v="1"/>
    <x v="1"/>
  </r>
  <r>
    <x v="1"/>
    <x v="185"/>
    <s v="Ground"/>
    <n v="50"/>
    <m/>
    <n v="-50"/>
    <x v="1"/>
    <x v="1"/>
    <x v="1"/>
  </r>
  <r>
    <x v="1"/>
    <x v="186"/>
    <s v="Ground"/>
    <n v="50"/>
    <m/>
    <n v="-50"/>
    <x v="1"/>
    <x v="1"/>
    <x v="1"/>
  </r>
  <r>
    <x v="1"/>
    <x v="186"/>
    <s v="Green's"/>
    <n v="193"/>
    <m/>
    <n v="-193"/>
    <x v="4"/>
    <x v="2"/>
    <x v="1"/>
  </r>
  <r>
    <x v="1"/>
    <x v="187"/>
    <s v="Home Decorator"/>
    <n v="1850.4"/>
    <m/>
    <n v="-1850.4"/>
    <x v="17"/>
    <x v="4"/>
    <x v="1"/>
  </r>
  <r>
    <x v="1"/>
    <x v="188"/>
    <s v="Fashion"/>
    <n v="1519.2"/>
    <m/>
    <n v="-1519.2"/>
    <x v="8"/>
    <x v="4"/>
    <x v="1"/>
  </r>
  <r>
    <x v="1"/>
    <x v="188"/>
    <s v="Taxi Co."/>
    <n v="120"/>
    <m/>
    <n v="-120"/>
    <x v="10"/>
    <x v="3"/>
    <x v="1"/>
  </r>
  <r>
    <x v="1"/>
    <x v="188"/>
    <s v="Foodary"/>
    <n v="250"/>
    <m/>
    <n v="-250"/>
    <x v="9"/>
    <x v="1"/>
    <x v="1"/>
  </r>
  <r>
    <x v="1"/>
    <x v="189"/>
    <s v="Ground"/>
    <n v="50"/>
    <m/>
    <n v="-50"/>
    <x v="1"/>
    <x v="1"/>
    <x v="1"/>
  </r>
  <r>
    <x v="1"/>
    <x v="190"/>
    <s v="Ground"/>
    <n v="50"/>
    <m/>
    <n v="-50"/>
    <x v="1"/>
    <x v="1"/>
    <x v="1"/>
  </r>
  <r>
    <x v="0"/>
    <x v="190"/>
    <s v="ACME Pty Ltd"/>
    <m/>
    <n v="30000"/>
    <n v="30000"/>
    <x v="0"/>
    <x v="0"/>
    <x v="0"/>
  </r>
  <r>
    <x v="1"/>
    <x v="191"/>
    <s v="Ground"/>
    <n v="50"/>
    <m/>
    <n v="-50"/>
    <x v="1"/>
    <x v="1"/>
    <x v="1"/>
  </r>
  <r>
    <x v="0"/>
    <x v="192"/>
    <s v="Estate Mgt."/>
    <n v="6000"/>
    <m/>
    <n v="-6000"/>
    <x v="2"/>
    <x v="2"/>
    <x v="1"/>
  </r>
  <r>
    <x v="0"/>
    <x v="192"/>
    <s v="Finance Co."/>
    <n v="2500"/>
    <m/>
    <n v="-2500"/>
    <x v="3"/>
    <x v="3"/>
    <x v="1"/>
  </r>
  <r>
    <x v="1"/>
    <x v="192"/>
    <s v="Ground"/>
    <n v="50"/>
    <m/>
    <n v="-50"/>
    <x v="1"/>
    <x v="1"/>
    <x v="1"/>
  </r>
  <r>
    <x v="1"/>
    <x v="192"/>
    <s v="Ground"/>
    <n v="50"/>
    <m/>
    <n v="-50"/>
    <x v="1"/>
    <x v="1"/>
    <x v="1"/>
  </r>
  <r>
    <x v="1"/>
    <x v="193"/>
    <s v="Ground"/>
    <n v="50"/>
    <m/>
    <n v="-50"/>
    <x v="1"/>
    <x v="1"/>
    <x v="1"/>
  </r>
  <r>
    <x v="1"/>
    <x v="194"/>
    <s v="Ground"/>
    <n v="50"/>
    <m/>
    <n v="-50"/>
    <x v="1"/>
    <x v="1"/>
    <x v="1"/>
  </r>
  <r>
    <x v="1"/>
    <x v="194"/>
    <s v="Green's"/>
    <n v="137"/>
    <m/>
    <n v="-137"/>
    <x v="4"/>
    <x v="2"/>
    <x v="1"/>
  </r>
  <r>
    <x v="0"/>
    <x v="195"/>
    <s v="Elec. Co."/>
    <n v="1200"/>
    <m/>
    <n v="-1200"/>
    <x v="5"/>
    <x v="2"/>
    <x v="1"/>
  </r>
  <r>
    <x v="1"/>
    <x v="195"/>
    <s v="Ground"/>
    <n v="50"/>
    <m/>
    <n v="-50"/>
    <x v="1"/>
    <x v="1"/>
    <x v="1"/>
  </r>
  <r>
    <x v="1"/>
    <x v="196"/>
    <s v="Ground"/>
    <n v="50"/>
    <m/>
    <n v="-50"/>
    <x v="1"/>
    <x v="1"/>
    <x v="1"/>
  </r>
  <r>
    <x v="1"/>
    <x v="197"/>
    <s v="Fuel. Co"/>
    <n v="300"/>
    <m/>
    <n v="-300"/>
    <x v="6"/>
    <x v="3"/>
    <x v="1"/>
  </r>
  <r>
    <x v="1"/>
    <x v="197"/>
    <s v="Ground"/>
    <n v="50"/>
    <m/>
    <n v="-50"/>
    <x v="1"/>
    <x v="1"/>
    <x v="1"/>
  </r>
  <r>
    <x v="1"/>
    <x v="198"/>
    <s v="Ground"/>
    <n v="50"/>
    <m/>
    <n v="-50"/>
    <x v="1"/>
    <x v="1"/>
    <x v="1"/>
  </r>
  <r>
    <x v="1"/>
    <x v="199"/>
    <s v="Green's"/>
    <n v="142.1"/>
    <m/>
    <n v="-142.1"/>
    <x v="4"/>
    <x v="2"/>
    <x v="1"/>
  </r>
  <r>
    <x v="1"/>
    <x v="199"/>
    <s v="Ground"/>
    <n v="50"/>
    <m/>
    <n v="-50"/>
    <x v="1"/>
    <x v="1"/>
    <x v="1"/>
  </r>
  <r>
    <x v="1"/>
    <x v="200"/>
    <s v="Ground"/>
    <n v="50"/>
    <m/>
    <n v="-50"/>
    <x v="1"/>
    <x v="1"/>
    <x v="1"/>
  </r>
  <r>
    <x v="1"/>
    <x v="200"/>
    <s v="Event Cinemas"/>
    <n v="140"/>
    <m/>
    <n v="-140"/>
    <x v="7"/>
    <x v="4"/>
    <x v="1"/>
  </r>
  <r>
    <x v="1"/>
    <x v="200"/>
    <s v="Fashion"/>
    <n v="504.7"/>
    <m/>
    <n v="-504.7"/>
    <x v="8"/>
    <x v="4"/>
    <x v="1"/>
  </r>
  <r>
    <x v="1"/>
    <x v="200"/>
    <s v="Happy's Grill"/>
    <n v="200"/>
    <m/>
    <n v="-200"/>
    <x v="9"/>
    <x v="1"/>
    <x v="1"/>
  </r>
  <r>
    <x v="1"/>
    <x v="201"/>
    <s v="Taxi Co."/>
    <n v="75"/>
    <m/>
    <n v="-75"/>
    <x v="10"/>
    <x v="3"/>
    <x v="1"/>
  </r>
  <r>
    <x v="0"/>
    <x v="202"/>
    <s v="Muscle Beach"/>
    <n v="300"/>
    <m/>
    <n v="-300"/>
    <x v="11"/>
    <x v="4"/>
    <x v="1"/>
  </r>
  <r>
    <x v="1"/>
    <x v="202"/>
    <s v="Ground"/>
    <n v="50"/>
    <m/>
    <n v="-50"/>
    <x v="1"/>
    <x v="1"/>
    <x v="1"/>
  </r>
  <r>
    <x v="1"/>
    <x v="203"/>
    <s v="Ground"/>
    <n v="50"/>
    <m/>
    <n v="-50"/>
    <x v="1"/>
    <x v="1"/>
    <x v="1"/>
  </r>
  <r>
    <x v="0"/>
    <x v="203"/>
    <s v="Phone Recharge"/>
    <n v="699"/>
    <m/>
    <n v="-699"/>
    <x v="13"/>
    <x v="2"/>
    <x v="1"/>
  </r>
  <r>
    <x v="1"/>
    <x v="204"/>
    <s v="Gifts"/>
    <n v="500"/>
    <m/>
    <n v="-500"/>
    <x v="14"/>
    <x v="4"/>
    <x v="1"/>
  </r>
  <r>
    <x v="1"/>
    <x v="204"/>
    <s v="Streaming Co."/>
    <n v="500"/>
    <m/>
    <n v="-500"/>
    <x v="7"/>
    <x v="4"/>
    <x v="1"/>
  </r>
  <r>
    <x v="1"/>
    <x v="204"/>
    <s v="Ground"/>
    <n v="50"/>
    <m/>
    <n v="-50"/>
    <x v="1"/>
    <x v="1"/>
    <x v="1"/>
  </r>
  <r>
    <x v="1"/>
    <x v="205"/>
    <s v="Ground"/>
    <n v="50"/>
    <m/>
    <n v="-50"/>
    <x v="1"/>
    <x v="1"/>
    <x v="1"/>
  </r>
  <r>
    <x v="1"/>
    <x v="206"/>
    <s v="Ground"/>
    <n v="50"/>
    <m/>
    <n v="-50"/>
    <x v="1"/>
    <x v="1"/>
    <x v="1"/>
  </r>
  <r>
    <x v="1"/>
    <x v="206"/>
    <s v="Green's"/>
    <n v="177"/>
    <m/>
    <n v="-177"/>
    <x v="4"/>
    <x v="2"/>
    <x v="1"/>
  </r>
  <r>
    <x v="1"/>
    <x v="207"/>
    <s v="Pizza Dominos"/>
    <n v="599"/>
    <m/>
    <n v="-599"/>
    <x v="9"/>
    <x v="1"/>
    <x v="1"/>
  </r>
  <r>
    <x v="1"/>
    <x v="208"/>
    <s v="Golden Arches"/>
    <n v="19.2"/>
    <m/>
    <n v="-19.2"/>
    <x v="9"/>
    <x v="1"/>
    <x v="1"/>
  </r>
  <r>
    <x v="0"/>
    <x v="209"/>
    <s v="Worldvision"/>
    <n v="551"/>
    <m/>
    <n v="-551"/>
    <x v="15"/>
    <x v="6"/>
    <x v="1"/>
  </r>
  <r>
    <x v="1"/>
    <x v="209"/>
    <s v="Fuel. Co"/>
    <n v="300"/>
    <m/>
    <n v="-300"/>
    <x v="6"/>
    <x v="3"/>
    <x v="1"/>
  </r>
  <r>
    <x v="1"/>
    <x v="209"/>
    <s v="Ground"/>
    <n v="50"/>
    <m/>
    <n v="-50"/>
    <x v="1"/>
    <x v="1"/>
    <x v="1"/>
  </r>
  <r>
    <x v="1"/>
    <x v="210"/>
    <s v="Ground"/>
    <n v="50"/>
    <m/>
    <n v="-50"/>
    <x v="1"/>
    <x v="1"/>
    <x v="1"/>
  </r>
  <r>
    <x v="1"/>
    <x v="211"/>
    <s v="Ground"/>
    <n v="50"/>
    <m/>
    <n v="-50"/>
    <x v="1"/>
    <x v="1"/>
    <x v="1"/>
  </r>
  <r>
    <x v="1"/>
    <x v="212"/>
    <s v="Ground"/>
    <n v="50"/>
    <m/>
    <n v="-50"/>
    <x v="1"/>
    <x v="1"/>
    <x v="1"/>
  </r>
  <r>
    <x v="1"/>
    <x v="213"/>
    <s v="Ground"/>
    <n v="50"/>
    <m/>
    <n v="-50"/>
    <x v="1"/>
    <x v="1"/>
    <x v="1"/>
  </r>
  <r>
    <x v="1"/>
    <x v="213"/>
    <s v="Green's"/>
    <n v="117"/>
    <m/>
    <n v="-117"/>
    <x v="4"/>
    <x v="2"/>
    <x v="1"/>
  </r>
  <r>
    <x v="1"/>
    <x v="214"/>
    <s v="Ticketek"/>
    <n v="1821.4"/>
    <m/>
    <n v="-1821.4"/>
    <x v="7"/>
    <x v="4"/>
    <x v="1"/>
  </r>
  <r>
    <x v="1"/>
    <x v="215"/>
    <s v="Fashion"/>
    <n v="952.3"/>
    <m/>
    <n v="-952.3"/>
    <x v="8"/>
    <x v="4"/>
    <x v="1"/>
  </r>
  <r>
    <x v="1"/>
    <x v="215"/>
    <s v="Taxi Co."/>
    <n v="120"/>
    <m/>
    <n v="-120"/>
    <x v="10"/>
    <x v="3"/>
    <x v="1"/>
  </r>
  <r>
    <x v="1"/>
    <x v="215"/>
    <s v="Foodary"/>
    <n v="250"/>
    <m/>
    <n v="-250"/>
    <x v="9"/>
    <x v="1"/>
    <x v="1"/>
  </r>
  <r>
    <x v="1"/>
    <x v="216"/>
    <s v="Ground"/>
    <n v="50"/>
    <m/>
    <n v="-50"/>
    <x v="1"/>
    <x v="1"/>
    <x v="1"/>
  </r>
  <r>
    <x v="1"/>
    <x v="217"/>
    <s v="Ground"/>
    <n v="50"/>
    <m/>
    <n v="-50"/>
    <x v="1"/>
    <x v="1"/>
    <x v="1"/>
  </r>
  <r>
    <x v="0"/>
    <x v="217"/>
    <s v="ACME Pty Ltd"/>
    <m/>
    <n v="30000"/>
    <n v="30000"/>
    <x v="0"/>
    <x v="0"/>
    <x v="0"/>
  </r>
  <r>
    <x v="1"/>
    <x v="218"/>
    <s v="Ground"/>
    <n v="50"/>
    <m/>
    <n v="-50"/>
    <x v="1"/>
    <x v="1"/>
    <x v="1"/>
  </r>
  <r>
    <x v="0"/>
    <x v="219"/>
    <s v="Estate Mgt."/>
    <n v="6000"/>
    <m/>
    <n v="-6000"/>
    <x v="2"/>
    <x v="2"/>
    <x v="1"/>
  </r>
  <r>
    <x v="0"/>
    <x v="219"/>
    <s v="Finance Co."/>
    <n v="2500"/>
    <m/>
    <n v="-2500"/>
    <x v="3"/>
    <x v="3"/>
    <x v="1"/>
  </r>
  <r>
    <x v="1"/>
    <x v="219"/>
    <s v="Ground"/>
    <n v="50"/>
    <m/>
    <n v="-50"/>
    <x v="1"/>
    <x v="1"/>
    <x v="1"/>
  </r>
  <r>
    <x v="1"/>
    <x v="219"/>
    <s v="Ground"/>
    <n v="50"/>
    <m/>
    <n v="-50"/>
    <x v="1"/>
    <x v="1"/>
    <x v="1"/>
  </r>
  <r>
    <x v="1"/>
    <x v="220"/>
    <s v="Ground"/>
    <n v="50"/>
    <m/>
    <n v="-50"/>
    <x v="1"/>
    <x v="1"/>
    <x v="1"/>
  </r>
  <r>
    <x v="1"/>
    <x v="221"/>
    <s v="Ground"/>
    <n v="50"/>
    <m/>
    <n v="-50"/>
    <x v="1"/>
    <x v="1"/>
    <x v="1"/>
  </r>
  <r>
    <x v="1"/>
    <x v="221"/>
    <s v="Green's"/>
    <n v="163.39999999999998"/>
    <m/>
    <n v="-163.39999999999998"/>
    <x v="4"/>
    <x v="2"/>
    <x v="1"/>
  </r>
  <r>
    <x v="0"/>
    <x v="222"/>
    <s v="Elec. Co."/>
    <n v="890"/>
    <m/>
    <n v="-890"/>
    <x v="5"/>
    <x v="2"/>
    <x v="1"/>
  </r>
  <r>
    <x v="1"/>
    <x v="222"/>
    <s v="Ground"/>
    <n v="50"/>
    <m/>
    <n v="-50"/>
    <x v="1"/>
    <x v="1"/>
    <x v="1"/>
  </r>
  <r>
    <x v="1"/>
    <x v="223"/>
    <s v="Ground"/>
    <n v="50"/>
    <m/>
    <n v="-50"/>
    <x v="1"/>
    <x v="1"/>
    <x v="1"/>
  </r>
  <r>
    <x v="1"/>
    <x v="224"/>
    <s v="Fuel. Co"/>
    <n v="300"/>
    <m/>
    <n v="-300"/>
    <x v="6"/>
    <x v="3"/>
    <x v="1"/>
  </r>
  <r>
    <x v="1"/>
    <x v="224"/>
    <s v="Ground"/>
    <n v="50"/>
    <m/>
    <n v="-50"/>
    <x v="1"/>
    <x v="1"/>
    <x v="1"/>
  </r>
  <r>
    <x v="1"/>
    <x v="225"/>
    <s v="Ground"/>
    <n v="50"/>
    <m/>
    <n v="-50"/>
    <x v="1"/>
    <x v="1"/>
    <x v="1"/>
  </r>
  <r>
    <x v="1"/>
    <x v="226"/>
    <s v="Green's"/>
    <n v="143"/>
    <m/>
    <n v="-143"/>
    <x v="4"/>
    <x v="2"/>
    <x v="1"/>
  </r>
  <r>
    <x v="1"/>
    <x v="226"/>
    <s v="Ground"/>
    <n v="50"/>
    <m/>
    <n v="-50"/>
    <x v="1"/>
    <x v="1"/>
    <x v="1"/>
  </r>
  <r>
    <x v="1"/>
    <x v="227"/>
    <s v="Ground"/>
    <n v="50"/>
    <m/>
    <n v="-50"/>
    <x v="1"/>
    <x v="1"/>
    <x v="1"/>
  </r>
  <r>
    <x v="1"/>
    <x v="227"/>
    <s v="Event Cinemas"/>
    <n v="140"/>
    <m/>
    <n v="-140"/>
    <x v="7"/>
    <x v="4"/>
    <x v="1"/>
  </r>
  <r>
    <x v="1"/>
    <x v="227"/>
    <s v="Fashion"/>
    <n v="505.8"/>
    <m/>
    <n v="-505.8"/>
    <x v="8"/>
    <x v="4"/>
    <x v="1"/>
  </r>
  <r>
    <x v="1"/>
    <x v="227"/>
    <s v="Happy's Grill"/>
    <n v="200"/>
    <m/>
    <n v="-200"/>
    <x v="9"/>
    <x v="1"/>
    <x v="1"/>
  </r>
  <r>
    <x v="1"/>
    <x v="228"/>
    <s v="Taxi Co."/>
    <n v="85"/>
    <m/>
    <n v="-85"/>
    <x v="10"/>
    <x v="3"/>
    <x v="1"/>
  </r>
  <r>
    <x v="0"/>
    <x v="229"/>
    <s v="Muscle Beach"/>
    <n v="300"/>
    <m/>
    <n v="-300"/>
    <x v="11"/>
    <x v="4"/>
    <x v="1"/>
  </r>
  <r>
    <x v="1"/>
    <x v="229"/>
    <s v="Ground"/>
    <n v="50"/>
    <m/>
    <n v="-50"/>
    <x v="1"/>
    <x v="1"/>
    <x v="1"/>
  </r>
  <r>
    <x v="1"/>
    <x v="230"/>
    <s v="Ground"/>
    <n v="50"/>
    <m/>
    <n v="-50"/>
    <x v="1"/>
    <x v="1"/>
    <x v="1"/>
  </r>
  <r>
    <x v="0"/>
    <x v="230"/>
    <s v="Phone Recharge"/>
    <n v="699"/>
    <m/>
    <n v="-699"/>
    <x v="13"/>
    <x v="2"/>
    <x v="1"/>
  </r>
  <r>
    <x v="1"/>
    <x v="231"/>
    <s v="Gifts"/>
    <n v="500"/>
    <m/>
    <n v="-500"/>
    <x v="14"/>
    <x v="4"/>
    <x v="1"/>
  </r>
  <r>
    <x v="1"/>
    <x v="231"/>
    <s v="Streaming Co."/>
    <n v="500"/>
    <m/>
    <n v="-500"/>
    <x v="7"/>
    <x v="4"/>
    <x v="1"/>
  </r>
  <r>
    <x v="1"/>
    <x v="231"/>
    <s v="Ground"/>
    <n v="50"/>
    <m/>
    <n v="-50"/>
    <x v="1"/>
    <x v="1"/>
    <x v="1"/>
  </r>
  <r>
    <x v="1"/>
    <x v="232"/>
    <s v="Ground"/>
    <n v="50"/>
    <m/>
    <n v="-50"/>
    <x v="1"/>
    <x v="1"/>
    <x v="1"/>
  </r>
  <r>
    <x v="1"/>
    <x v="233"/>
    <s v="Ground"/>
    <n v="50"/>
    <m/>
    <n v="-50"/>
    <x v="1"/>
    <x v="1"/>
    <x v="1"/>
  </r>
  <r>
    <x v="1"/>
    <x v="233"/>
    <s v="Green's"/>
    <n v="177.9"/>
    <m/>
    <n v="-177.9"/>
    <x v="4"/>
    <x v="2"/>
    <x v="1"/>
  </r>
  <r>
    <x v="1"/>
    <x v="234"/>
    <s v="Pizza Dominos"/>
    <n v="599"/>
    <m/>
    <n v="-599"/>
    <x v="9"/>
    <x v="1"/>
    <x v="1"/>
  </r>
  <r>
    <x v="1"/>
    <x v="235"/>
    <s v="Golden Arches"/>
    <n v="20.099999999999998"/>
    <m/>
    <n v="-20.099999999999998"/>
    <x v="9"/>
    <x v="1"/>
    <x v="1"/>
  </r>
  <r>
    <x v="0"/>
    <x v="236"/>
    <s v="Worldvision"/>
    <n v="551"/>
    <m/>
    <n v="-551"/>
    <x v="15"/>
    <x v="6"/>
    <x v="1"/>
  </r>
  <r>
    <x v="1"/>
    <x v="236"/>
    <s v="Fuel. Co"/>
    <n v="300"/>
    <m/>
    <n v="-300"/>
    <x v="6"/>
    <x v="3"/>
    <x v="1"/>
  </r>
  <r>
    <x v="1"/>
    <x v="236"/>
    <s v="Ground"/>
    <n v="50"/>
    <m/>
    <n v="-50"/>
    <x v="1"/>
    <x v="1"/>
    <x v="1"/>
  </r>
  <r>
    <x v="1"/>
    <x v="237"/>
    <s v="Ground"/>
    <n v="50"/>
    <m/>
    <n v="-50"/>
    <x v="1"/>
    <x v="1"/>
    <x v="1"/>
  </r>
  <r>
    <x v="1"/>
    <x v="238"/>
    <s v="Ground"/>
    <n v="50"/>
    <m/>
    <n v="-50"/>
    <x v="1"/>
    <x v="1"/>
    <x v="1"/>
  </r>
  <r>
    <x v="1"/>
    <x v="239"/>
    <s v="Ground"/>
    <n v="50"/>
    <m/>
    <n v="-50"/>
    <x v="1"/>
    <x v="1"/>
    <x v="1"/>
  </r>
  <r>
    <x v="1"/>
    <x v="240"/>
    <s v="Ground"/>
    <n v="50"/>
    <m/>
    <n v="-50"/>
    <x v="1"/>
    <x v="1"/>
    <x v="1"/>
  </r>
  <r>
    <x v="1"/>
    <x v="240"/>
    <s v="Green's"/>
    <n v="223"/>
    <m/>
    <n v="-223"/>
    <x v="4"/>
    <x v="2"/>
    <x v="1"/>
  </r>
  <r>
    <x v="1"/>
    <x v="241"/>
    <s v="Global Fashion"/>
    <n v="1750"/>
    <m/>
    <n v="-1750"/>
    <x v="8"/>
    <x v="4"/>
    <x v="1"/>
  </r>
  <r>
    <x v="1"/>
    <x v="242"/>
    <s v="Fashion"/>
    <n v="653.4"/>
    <m/>
    <n v="-653.4"/>
    <x v="8"/>
    <x v="4"/>
    <x v="1"/>
  </r>
  <r>
    <x v="1"/>
    <x v="242"/>
    <s v="Taxi Co."/>
    <n v="120"/>
    <m/>
    <n v="-120"/>
    <x v="10"/>
    <x v="3"/>
    <x v="1"/>
  </r>
  <r>
    <x v="1"/>
    <x v="242"/>
    <s v="Foodary"/>
    <n v="250"/>
    <m/>
    <n v="-250"/>
    <x v="9"/>
    <x v="1"/>
    <x v="1"/>
  </r>
  <r>
    <x v="1"/>
    <x v="243"/>
    <s v="Ground"/>
    <n v="50"/>
    <m/>
    <n v="-50"/>
    <x v="1"/>
    <x v="1"/>
    <x v="1"/>
  </r>
  <r>
    <x v="1"/>
    <x v="244"/>
    <s v="Ground"/>
    <n v="50"/>
    <m/>
    <n v="-50"/>
    <x v="1"/>
    <x v="1"/>
    <x v="1"/>
  </r>
  <r>
    <x v="0"/>
    <x v="244"/>
    <s v="ACME Pty Ltd"/>
    <m/>
    <n v="30000"/>
    <n v="30000"/>
    <x v="0"/>
    <x v="0"/>
    <x v="0"/>
  </r>
  <r>
    <x v="1"/>
    <x v="245"/>
    <s v="Ground"/>
    <n v="50"/>
    <m/>
    <n v="-50"/>
    <x v="1"/>
    <x v="1"/>
    <x v="1"/>
  </r>
  <r>
    <x v="0"/>
    <x v="246"/>
    <s v="Estate Mgt."/>
    <n v="6000"/>
    <m/>
    <n v="-6000"/>
    <x v="2"/>
    <x v="2"/>
    <x v="1"/>
  </r>
  <r>
    <x v="0"/>
    <x v="246"/>
    <s v="Finance Co."/>
    <n v="2500"/>
    <m/>
    <n v="-2500"/>
    <x v="3"/>
    <x v="3"/>
    <x v="1"/>
  </r>
  <r>
    <x v="1"/>
    <x v="246"/>
    <s v="Ground"/>
    <n v="50"/>
    <m/>
    <n v="-50"/>
    <x v="1"/>
    <x v="1"/>
    <x v="1"/>
  </r>
  <r>
    <x v="1"/>
    <x v="246"/>
    <s v="Ground"/>
    <n v="50"/>
    <m/>
    <n v="-50"/>
    <x v="1"/>
    <x v="1"/>
    <x v="1"/>
  </r>
  <r>
    <x v="1"/>
    <x v="247"/>
    <s v="Ground"/>
    <n v="50"/>
    <m/>
    <n v="-50"/>
    <x v="1"/>
    <x v="1"/>
    <x v="1"/>
  </r>
  <r>
    <x v="1"/>
    <x v="248"/>
    <s v="Ground"/>
    <n v="50"/>
    <m/>
    <n v="-50"/>
    <x v="1"/>
    <x v="1"/>
    <x v="1"/>
  </r>
  <r>
    <x v="1"/>
    <x v="248"/>
    <s v="Green's"/>
    <n v="105"/>
    <m/>
    <n v="-105"/>
    <x v="4"/>
    <x v="2"/>
    <x v="1"/>
  </r>
  <r>
    <x v="0"/>
    <x v="249"/>
    <s v="Elec. Co."/>
    <n v="920"/>
    <m/>
    <n v="-920"/>
    <x v="5"/>
    <x v="2"/>
    <x v="1"/>
  </r>
  <r>
    <x v="1"/>
    <x v="249"/>
    <s v="Ground"/>
    <n v="50"/>
    <m/>
    <n v="-50"/>
    <x v="1"/>
    <x v="1"/>
    <x v="1"/>
  </r>
  <r>
    <x v="1"/>
    <x v="250"/>
    <s v="Ground"/>
    <n v="50"/>
    <m/>
    <n v="-50"/>
    <x v="1"/>
    <x v="1"/>
    <x v="1"/>
  </r>
  <r>
    <x v="1"/>
    <x v="251"/>
    <s v="Fuel. Co"/>
    <n v="300"/>
    <m/>
    <n v="-300"/>
    <x v="6"/>
    <x v="3"/>
    <x v="1"/>
  </r>
  <r>
    <x v="1"/>
    <x v="251"/>
    <s v="Ground"/>
    <n v="50"/>
    <m/>
    <n v="-50"/>
    <x v="1"/>
    <x v="1"/>
    <x v="1"/>
  </r>
  <r>
    <x v="1"/>
    <x v="252"/>
    <s v="Ground"/>
    <n v="50"/>
    <m/>
    <n v="-50"/>
    <x v="1"/>
    <x v="1"/>
    <x v="1"/>
  </r>
  <r>
    <x v="1"/>
    <x v="253"/>
    <s v="Green's"/>
    <n v="143.9"/>
    <m/>
    <n v="-143.9"/>
    <x v="4"/>
    <x v="2"/>
    <x v="1"/>
  </r>
  <r>
    <x v="1"/>
    <x v="253"/>
    <s v="Ground"/>
    <n v="50"/>
    <m/>
    <n v="-50"/>
    <x v="1"/>
    <x v="1"/>
    <x v="1"/>
  </r>
  <r>
    <x v="1"/>
    <x v="254"/>
    <s v="Ground"/>
    <n v="50"/>
    <m/>
    <n v="-50"/>
    <x v="1"/>
    <x v="1"/>
    <x v="1"/>
  </r>
  <r>
    <x v="1"/>
    <x v="254"/>
    <s v="Event Cinemas"/>
    <n v="140"/>
    <m/>
    <n v="-140"/>
    <x v="7"/>
    <x v="4"/>
    <x v="1"/>
  </r>
  <r>
    <x v="1"/>
    <x v="254"/>
    <s v="Fashion"/>
    <n v="2006.7"/>
    <m/>
    <n v="-2006.7"/>
    <x v="8"/>
    <x v="4"/>
    <x v="1"/>
  </r>
  <r>
    <x v="1"/>
    <x v="254"/>
    <s v="Happy's Grill"/>
    <n v="200"/>
    <m/>
    <n v="-200"/>
    <x v="9"/>
    <x v="1"/>
    <x v="1"/>
  </r>
  <r>
    <x v="1"/>
    <x v="255"/>
    <s v="Taxi Co."/>
    <n v="100"/>
    <m/>
    <n v="-100"/>
    <x v="10"/>
    <x v="3"/>
    <x v="1"/>
  </r>
  <r>
    <x v="0"/>
    <x v="256"/>
    <s v="Muscle Beach"/>
    <n v="300"/>
    <m/>
    <n v="-300"/>
    <x v="11"/>
    <x v="4"/>
    <x v="1"/>
  </r>
  <r>
    <x v="1"/>
    <x v="256"/>
    <s v="Ground"/>
    <n v="50"/>
    <m/>
    <n v="-50"/>
    <x v="1"/>
    <x v="1"/>
    <x v="1"/>
  </r>
  <r>
    <x v="1"/>
    <x v="257"/>
    <s v="Ground"/>
    <n v="50"/>
    <m/>
    <n v="-50"/>
    <x v="1"/>
    <x v="1"/>
    <x v="1"/>
  </r>
  <r>
    <x v="0"/>
    <x v="257"/>
    <s v="Village Medical"/>
    <n v="100"/>
    <m/>
    <n v="-100"/>
    <x v="16"/>
    <x v="5"/>
    <x v="1"/>
  </r>
  <r>
    <x v="0"/>
    <x v="257"/>
    <s v="Phone Recharge"/>
    <n v="699"/>
    <m/>
    <n v="-699"/>
    <x v="13"/>
    <x v="2"/>
    <x v="1"/>
  </r>
  <r>
    <x v="1"/>
    <x v="258"/>
    <s v="Gifts"/>
    <n v="500"/>
    <m/>
    <n v="-500"/>
    <x v="14"/>
    <x v="4"/>
    <x v="1"/>
  </r>
  <r>
    <x v="1"/>
    <x v="258"/>
    <s v="Streaming Co."/>
    <n v="500"/>
    <m/>
    <n v="-500"/>
    <x v="7"/>
    <x v="4"/>
    <x v="1"/>
  </r>
  <r>
    <x v="1"/>
    <x v="258"/>
    <s v="Ground"/>
    <n v="50"/>
    <m/>
    <n v="-50"/>
    <x v="1"/>
    <x v="1"/>
    <x v="1"/>
  </r>
  <r>
    <x v="1"/>
    <x v="259"/>
    <s v="Ground"/>
    <n v="50"/>
    <m/>
    <n v="-50"/>
    <x v="1"/>
    <x v="1"/>
    <x v="1"/>
  </r>
  <r>
    <x v="1"/>
    <x v="260"/>
    <s v="Ground"/>
    <n v="50"/>
    <m/>
    <n v="-50"/>
    <x v="1"/>
    <x v="1"/>
    <x v="1"/>
  </r>
  <r>
    <x v="1"/>
    <x v="260"/>
    <s v="Green's"/>
    <n v="178.9"/>
    <m/>
    <n v="-178.9"/>
    <x v="4"/>
    <x v="2"/>
    <x v="1"/>
  </r>
  <r>
    <x v="1"/>
    <x v="261"/>
    <s v="Pizza Dominos"/>
    <n v="599"/>
    <m/>
    <n v="-599"/>
    <x v="9"/>
    <x v="1"/>
    <x v="1"/>
  </r>
  <r>
    <x v="1"/>
    <x v="262"/>
    <s v="Golden Arches"/>
    <n v="21.099999999999998"/>
    <m/>
    <n v="-21.099999999999998"/>
    <x v="9"/>
    <x v="1"/>
    <x v="1"/>
  </r>
  <r>
    <x v="0"/>
    <x v="263"/>
    <s v="Worldvision"/>
    <n v="551"/>
    <m/>
    <n v="-551"/>
    <x v="15"/>
    <x v="6"/>
    <x v="1"/>
  </r>
  <r>
    <x v="1"/>
    <x v="263"/>
    <s v="Fuel. Co"/>
    <n v="300"/>
    <m/>
    <n v="-300"/>
    <x v="6"/>
    <x v="3"/>
    <x v="1"/>
  </r>
  <r>
    <x v="1"/>
    <x v="263"/>
    <s v="Ground"/>
    <n v="50"/>
    <m/>
    <n v="-50"/>
    <x v="1"/>
    <x v="1"/>
    <x v="1"/>
  </r>
  <r>
    <x v="1"/>
    <x v="264"/>
    <s v="Ground"/>
    <n v="50"/>
    <m/>
    <n v="-50"/>
    <x v="1"/>
    <x v="1"/>
    <x v="1"/>
  </r>
  <r>
    <x v="1"/>
    <x v="265"/>
    <s v="Ground"/>
    <n v="50"/>
    <m/>
    <n v="-50"/>
    <x v="1"/>
    <x v="1"/>
    <x v="1"/>
  </r>
  <r>
    <x v="1"/>
    <x v="266"/>
    <s v="Ground"/>
    <n v="50"/>
    <m/>
    <n v="-50"/>
    <x v="1"/>
    <x v="1"/>
    <x v="1"/>
  </r>
  <r>
    <x v="1"/>
    <x v="267"/>
    <s v="Ground"/>
    <n v="50"/>
    <m/>
    <n v="-50"/>
    <x v="1"/>
    <x v="1"/>
    <x v="1"/>
  </r>
  <r>
    <x v="1"/>
    <x v="267"/>
    <s v="Green's"/>
    <n v="189"/>
    <m/>
    <n v="-189"/>
    <x v="4"/>
    <x v="2"/>
    <x v="1"/>
  </r>
  <r>
    <x v="1"/>
    <x v="268"/>
    <s v="Ticketek"/>
    <n v="1849.4"/>
    <m/>
    <n v="-1849.4"/>
    <x v="7"/>
    <x v="4"/>
    <x v="1"/>
  </r>
  <r>
    <x v="1"/>
    <x v="269"/>
    <s v="Fashion"/>
    <n v="1545.5"/>
    <m/>
    <n v="-1545.5"/>
    <x v="8"/>
    <x v="4"/>
    <x v="1"/>
  </r>
  <r>
    <x v="1"/>
    <x v="269"/>
    <s v="Taxi Co."/>
    <n v="110"/>
    <m/>
    <n v="-110"/>
    <x v="10"/>
    <x v="3"/>
    <x v="1"/>
  </r>
  <r>
    <x v="1"/>
    <x v="269"/>
    <s v="Foodary"/>
    <n v="250"/>
    <m/>
    <n v="-250"/>
    <x v="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D61A74-9D9A-4DD1-B8C2-340A594DAA3B}" name="PTExp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3:G14" firstHeaderRow="1" firstDataRow="1" firstDataCol="1" rowPageCount="1" colPageCount="1"/>
  <pivotFields count="10">
    <pivotField showAll="0"/>
    <pivotField numFmtId="14" showAll="0">
      <items count="2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4"/>
        <item x="133"/>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showAll="0"/>
    <pivotField dataField="1" showAll="0"/>
    <pivotField showAll="0"/>
    <pivotField showAll="0"/>
    <pivotField showAll="0"/>
    <pivotField showAll="0">
      <items count="8">
        <item x="6"/>
        <item x="1"/>
        <item x="4"/>
        <item h="1" x="2"/>
        <item h="1" x="5"/>
        <item h="1" x="0"/>
        <item h="1" x="3"/>
        <item t="default"/>
      </items>
    </pivotField>
    <pivotField axis="axisPage" showAll="0">
      <items count="3">
        <item x="1"/>
        <item x="0"/>
        <item t="default"/>
      </items>
    </pivotField>
    <pivotField axis="axisRow" showAll="0">
      <items count="15">
        <item x="0"/>
        <item x="1"/>
        <item x="2"/>
        <item x="3"/>
        <item x="4"/>
        <item x="5"/>
        <item x="6"/>
        <item x="7"/>
        <item x="8"/>
        <item x="9"/>
        <item x="10"/>
        <item x="11"/>
        <item x="12"/>
        <item x="13"/>
        <item t="default"/>
      </items>
    </pivotField>
  </pivotFields>
  <rowFields count="1">
    <field x="9"/>
  </rowFields>
  <rowItems count="11">
    <i>
      <x v="1"/>
    </i>
    <i>
      <x v="2"/>
    </i>
    <i>
      <x v="3"/>
    </i>
    <i>
      <x v="4"/>
    </i>
    <i>
      <x v="5"/>
    </i>
    <i>
      <x v="6"/>
    </i>
    <i>
      <x v="7"/>
    </i>
    <i>
      <x v="8"/>
    </i>
    <i>
      <x v="9"/>
    </i>
    <i>
      <x v="10"/>
    </i>
    <i t="grand">
      <x/>
    </i>
  </rowItems>
  <colItems count="1">
    <i/>
  </colItems>
  <pageFields count="1">
    <pageField fld="8" hier="-1"/>
  </pageFields>
  <dataFields count="1">
    <dataField name="Sum of Debit" fld="3" baseField="0" baseItem="0" numFmtId="3"/>
  </dataFields>
  <formats count="7">
    <format dxfId="23">
      <pivotArea type="all" dataOnly="0" outline="0" fieldPosition="0"/>
    </format>
    <format dxfId="22">
      <pivotArea outline="0" collapsedLevelsAreSubtotals="1" fieldPosition="0"/>
    </format>
    <format dxfId="21">
      <pivotArea field="9" type="button" dataOnly="0" labelOnly="1" outline="0" axis="axisRow" fieldPosition="0"/>
    </format>
    <format dxfId="20">
      <pivotArea dataOnly="0" labelOnly="1" fieldPosition="0">
        <references count="1">
          <reference field="9" count="10">
            <x v="1"/>
            <x v="2"/>
            <x v="3"/>
            <x v="4"/>
            <x v="5"/>
            <x v="6"/>
            <x v="7"/>
            <x v="8"/>
            <x v="9"/>
            <x v="10"/>
          </reference>
        </references>
      </pivotArea>
    </format>
    <format dxfId="19">
      <pivotArea dataOnly="0" labelOnly="1" grandRow="1" outline="0" fieldPosition="0"/>
    </format>
    <format dxfId="18">
      <pivotArea dataOnly="0" labelOnly="1" outline="0" axis="axisValues" fieldPosition="0"/>
    </format>
    <format dxfId="17">
      <pivotArea outline="0" fieldPosition="0">
        <references count="1">
          <reference field="4294967294" count="1">
            <x v="0"/>
          </reference>
        </references>
      </pivotArea>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D68043-7A4E-4CED-B0B8-C4F580838C28}" name="PT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B3:C10" firstHeaderRow="1" firstDataRow="1" firstDataCol="1"/>
  <pivotFields count="10">
    <pivotField showAll="0"/>
    <pivotField numFmtId="14" showAll="0">
      <items count="2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4"/>
        <item x="133"/>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showAll="0"/>
    <pivotField dataField="1" showAll="0"/>
    <pivotField showAll="0"/>
    <pivotField showAll="0"/>
    <pivotField showAll="0"/>
    <pivotField axis="axisRow" showAll="0" sortType="descending">
      <items count="8">
        <item x="6"/>
        <item x="1"/>
        <item x="4"/>
        <item x="2"/>
        <item x="5"/>
        <item h="1" x="0"/>
        <item x="3"/>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s>
  <rowFields count="1">
    <field x="7"/>
  </rowFields>
  <rowItems count="7">
    <i>
      <x v="3"/>
    </i>
    <i>
      <x v="2"/>
    </i>
    <i>
      <x v="6"/>
    </i>
    <i>
      <x v="1"/>
    </i>
    <i>
      <x/>
    </i>
    <i>
      <x v="4"/>
    </i>
    <i t="grand">
      <x/>
    </i>
  </rowItems>
  <colItems count="1">
    <i/>
  </colItems>
  <dataFields count="1">
    <dataField name="Sum of Debit" fld="3" baseField="0" baseItem="0" numFmtId="165"/>
  </dataFields>
  <formats count="6">
    <format dxfId="29">
      <pivotArea type="all" dataOnly="0" outline="0" fieldPosition="0"/>
    </format>
    <format dxfId="28">
      <pivotArea outline="0" collapsedLevelsAreSubtotals="1" fieldPosition="0"/>
    </format>
    <format dxfId="27">
      <pivotArea field="7" type="button" dataOnly="0" labelOnly="1" outline="0" axis="axisRow" fieldPosition="0"/>
    </format>
    <format dxfId="26">
      <pivotArea dataOnly="0" labelOnly="1" fieldPosition="0">
        <references count="1">
          <reference field="7" count="0"/>
        </references>
      </pivotArea>
    </format>
    <format dxfId="25">
      <pivotArea dataOnly="0" labelOnly="1" grandRow="1" outline="0"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3C2F31-F25A-4E1E-8DA5-47BD8D4DB601}" name="PTNetChart" cacheId="0" applyNumberFormats="0" applyBorderFormats="0" applyFontFormats="0" applyPatternFormats="0" applyAlignmentFormats="0" applyWidthHeightFormats="1" dataCaption="Values" grandTotalCaption="Net" updatedVersion="8" minRefreshableVersion="3" useAutoFormatting="1" itemPrintTitles="1" createdVersion="8" indent="0" outline="1" outlineData="1" multipleFieldFilters="0" chartFormat="16">
  <location ref="F18:G29" firstHeaderRow="1" firstDataRow="1" firstDataCol="1"/>
  <pivotFields count="10">
    <pivotField showAll="0"/>
    <pivotField numFmtId="14" showAll="0">
      <items count="2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4"/>
        <item x="133"/>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showAll="0"/>
    <pivotField showAll="0"/>
    <pivotField showAll="0"/>
    <pivotField dataField="1" showAll="0"/>
    <pivotField showAll="0"/>
    <pivotField showAll="0"/>
    <pivotField showAll="0">
      <items count="3">
        <item x="1"/>
        <item x="0"/>
        <item t="default"/>
      </items>
    </pivotField>
    <pivotField axis="axisRow" showAll="0">
      <items count="15">
        <item x="0"/>
        <item x="1"/>
        <item x="2"/>
        <item x="3"/>
        <item x="4"/>
        <item x="5"/>
        <item x="6"/>
        <item x="7"/>
        <item x="8"/>
        <item x="9"/>
        <item x="10"/>
        <item x="11"/>
        <item x="12"/>
        <item x="13"/>
        <item t="default"/>
      </items>
    </pivotField>
  </pivotFields>
  <rowFields count="1">
    <field x="9"/>
  </rowFields>
  <rowItems count="11">
    <i>
      <x v="1"/>
    </i>
    <i>
      <x v="2"/>
    </i>
    <i>
      <x v="3"/>
    </i>
    <i>
      <x v="4"/>
    </i>
    <i>
      <x v="5"/>
    </i>
    <i>
      <x v="6"/>
    </i>
    <i>
      <x v="7"/>
    </i>
    <i>
      <x v="8"/>
    </i>
    <i>
      <x v="9"/>
    </i>
    <i>
      <x v="10"/>
    </i>
    <i t="grand">
      <x/>
    </i>
  </rowItems>
  <colItems count="1">
    <i/>
  </colItems>
  <dataFields count="1">
    <dataField name="Sum of Amount" fld="5" baseField="0" baseItem="0" numFmtId="3"/>
  </dataFields>
  <formats count="7">
    <format dxfId="36">
      <pivotArea type="all" dataOnly="0" outline="0" fieldPosition="0"/>
    </format>
    <format dxfId="35">
      <pivotArea outline="0" collapsedLevelsAreSubtotals="1" fieldPosition="0"/>
    </format>
    <format dxfId="34">
      <pivotArea field="9" type="button" dataOnly="0" labelOnly="1" outline="0" axis="axisRow" fieldPosition="0"/>
    </format>
    <format dxfId="33">
      <pivotArea dataOnly="0" labelOnly="1" fieldPosition="0">
        <references count="1">
          <reference field="9" count="10">
            <x v="1"/>
            <x v="2"/>
            <x v="3"/>
            <x v="4"/>
            <x v="5"/>
            <x v="6"/>
            <x v="7"/>
            <x v="8"/>
            <x v="9"/>
            <x v="10"/>
          </reference>
        </references>
      </pivotArea>
    </format>
    <format dxfId="32">
      <pivotArea dataOnly="0" labelOnly="1" grandRow="1" outline="0" fieldPosition="0"/>
    </format>
    <format dxfId="31">
      <pivotArea dataOnly="0" labelOnly="1" outline="0" axis="axisValues" fieldPosition="0"/>
    </format>
    <format dxfId="30">
      <pivotArea outline="0" fieldPosition="0">
        <references count="1">
          <reference field="4294967294" count="1">
            <x v="0"/>
          </reference>
        </references>
      </pivotArea>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9803D9-52F2-4A2A-8D27-87051DDA455D}" name="PTSlicer"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location ref="X3:X6" firstHeaderRow="1" firstDataRow="1" firstDataCol="1" rowPageCount="1" colPageCount="1"/>
  <pivotFields count="10">
    <pivotField showAll="0"/>
    <pivotField numFmtId="14" showAll="0">
      <items count="2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4"/>
        <item x="133"/>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showAll="0"/>
    <pivotField showAll="0"/>
    <pivotField showAll="0"/>
    <pivotField showAll="0"/>
    <pivotField showAll="0"/>
    <pivotField axis="axisRow" showAll="0">
      <items count="8">
        <item x="6"/>
        <item x="1"/>
        <item x="4"/>
        <item h="1" x="2"/>
        <item h="1" x="5"/>
        <item h="1" x="0"/>
        <item h="1" x="3"/>
        <item t="default"/>
      </items>
    </pivotField>
    <pivotField axis="axisPage" showAll="0">
      <items count="3">
        <item x="1"/>
        <item x="0"/>
        <item t="default"/>
      </items>
    </pivotField>
    <pivotField showAll="0" defaultSubtotal="0">
      <items count="14">
        <item x="0"/>
        <item x="1"/>
        <item x="2"/>
        <item x="3"/>
        <item x="4"/>
        <item x="5"/>
        <item x="6"/>
        <item x="7"/>
        <item x="8"/>
        <item x="9"/>
        <item x="10"/>
        <item x="11"/>
        <item x="12"/>
        <item x="13"/>
      </items>
    </pivotField>
  </pivotFields>
  <rowFields count="1">
    <field x="7"/>
  </rowFields>
  <rowItems count="3">
    <i>
      <x/>
    </i>
    <i>
      <x v="1"/>
    </i>
    <i>
      <x v="2"/>
    </i>
  </rowItems>
  <colItems count="1">
    <i/>
  </colItems>
  <pageFields count="1">
    <pageField fld="8" hier="-1"/>
  </pageFields>
  <formats count="3">
    <format dxfId="39">
      <pivotArea type="all" dataOnly="0" outline="0" fieldPosition="0"/>
    </format>
    <format dxfId="38">
      <pivotArea field="7" type="button" dataOnly="0" labelOnly="1" outline="0" axis="axisRow" fieldPosition="0"/>
    </format>
    <format dxfId="37">
      <pivotArea dataOnly="0" labelOnly="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5246DB-8EF2-493D-9468-B2B580CFB691}" name="PTDoughnu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4:C17" firstHeaderRow="1" firstDataRow="1" firstDataCol="1"/>
  <pivotFields count="10">
    <pivotField axis="axisRow" showAll="0">
      <items count="3">
        <item x="0"/>
        <item x="1"/>
        <item t="default"/>
      </items>
    </pivotField>
    <pivotField numFmtId="14" showAll="0">
      <items count="2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4"/>
        <item x="133"/>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0"/>
  </rowFields>
  <rowItems count="3">
    <i>
      <x/>
    </i>
    <i>
      <x v="1"/>
    </i>
    <i t="grand">
      <x/>
    </i>
  </rowItems>
  <colItems count="1">
    <i/>
  </colItems>
  <dataFields count="1">
    <dataField name="Sum of Debit" fld="3" baseField="0" baseItem="0" numFmtId="165"/>
  </dataFields>
  <formats count="6">
    <format dxfId="45">
      <pivotArea type="all" dataOnly="0" outline="0" fieldPosition="0"/>
    </format>
    <format dxfId="44">
      <pivotArea outline="0" collapsedLevelsAreSubtotals="1" fieldPosition="0"/>
    </format>
    <format dxfId="43">
      <pivotArea field="0" type="button" dataOnly="0" labelOnly="1" outline="0" axis="axisRow" fieldPosition="0"/>
    </format>
    <format dxfId="42">
      <pivotArea dataOnly="0" labelOnly="1" fieldPosition="0">
        <references count="1">
          <reference field="0" count="0"/>
        </references>
      </pivotArea>
    </format>
    <format dxfId="41">
      <pivotArea dataOnly="0" labelOnly="1" grandRow="1" outline="0" fieldPosition="0"/>
    </format>
    <format dxfId="4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0" count="1" selected="0">
            <x v="0"/>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A2C352-623C-434F-B55D-7EBBE2901B71}" name="PTTop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ub-category">
  <location ref="B23:C28" firstHeaderRow="1" firstDataRow="1" firstDataCol="1"/>
  <pivotFields count="10">
    <pivotField showAll="0"/>
    <pivotField numFmtId="14" showAll="0">
      <items count="2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4"/>
        <item x="133"/>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showAll="0"/>
    <pivotField dataField="1" showAll="0"/>
    <pivotField showAll="0"/>
    <pivotField showAll="0"/>
    <pivotField axis="axisRow" showAll="0" measureFilter="1" sortType="descending">
      <items count="19">
        <item x="10"/>
        <item x="0"/>
        <item x="9"/>
        <item x="2"/>
        <item x="13"/>
        <item x="3"/>
        <item x="6"/>
        <item x="11"/>
        <item x="4"/>
        <item x="14"/>
        <item x="5"/>
        <item x="17"/>
        <item x="7"/>
        <item x="15"/>
        <item x="16"/>
        <item x="12"/>
        <item x="1"/>
        <item x="8"/>
        <item t="default"/>
      </items>
    </pivotField>
    <pivotField showAll="0"/>
    <pivotField showAll="0"/>
    <pivotField showAll="0">
      <items count="15">
        <item h="1" x="0"/>
        <item x="1"/>
        <item h="1" x="2"/>
        <item h="1" x="3"/>
        <item h="1" x="4"/>
        <item h="1" x="5"/>
        <item h="1" x="6"/>
        <item h="1" x="7"/>
        <item h="1" x="8"/>
        <item h="1" x="9"/>
        <item h="1" x="10"/>
        <item h="1" x="11"/>
        <item h="1" x="12"/>
        <item h="1" x="13"/>
        <item t="default"/>
      </items>
    </pivotField>
  </pivotFields>
  <rowFields count="1">
    <field x="6"/>
  </rowFields>
  <rowItems count="5">
    <i>
      <x v="3"/>
    </i>
    <i>
      <x v="5"/>
    </i>
    <i>
      <x v="12"/>
    </i>
    <i>
      <x v="15"/>
    </i>
    <i>
      <x v="16"/>
    </i>
  </rowItems>
  <colItems count="1">
    <i/>
  </colItems>
  <dataFields count="1">
    <dataField name="Sum of Debit" fld="3" baseField="0" baseItem="0" numFmtId="165"/>
  </dataFields>
  <formats count="6">
    <format dxfId="51">
      <pivotArea type="all" dataOnly="0" outline="0" fieldPosition="0"/>
    </format>
    <format dxfId="50">
      <pivotArea outline="0" collapsedLevelsAreSubtotals="1" fieldPosition="0"/>
    </format>
    <format dxfId="49">
      <pivotArea field="6" type="button" dataOnly="0" labelOnly="1" outline="0" axis="axisRow" fieldPosition="0"/>
    </format>
    <format dxfId="48">
      <pivotArea dataOnly="0" labelOnly="1" fieldPosition="0">
        <references count="1">
          <reference field="6" count="5">
            <x v="3"/>
            <x v="5"/>
            <x v="12"/>
            <x v="16"/>
            <x v="17"/>
          </reference>
        </references>
      </pivotArea>
    </format>
    <format dxfId="47">
      <pivotArea dataOnly="0" labelOnly="1" grandRow="1" outline="0" fieldPosition="0"/>
    </format>
    <format dxfId="46">
      <pivotArea dataOnly="0" labelOnly="1" outline="0" axis="axisValues" fieldPosition="0"/>
    </format>
  </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3CAA99-A66D-4FE7-AC7C-D6275071F038}" name="PTWaterfall" cacheId="0" applyNumberFormats="0" applyBorderFormats="0" applyFontFormats="0" applyPatternFormats="0" applyAlignmentFormats="0" applyWidthHeightFormats="1" dataCaption="Values" grandTotalCaption="Net" updatedVersion="8" minRefreshableVersion="3" useAutoFormatting="1" itemPrintTitles="1" createdVersion="6" indent="0" outline="1" outlineData="1" multipleFieldFilters="0">
  <location ref="S25:T33" firstHeaderRow="1" firstDataRow="1" firstDataCol="1" rowPageCount="1" colPageCount="1"/>
  <pivotFields count="10">
    <pivotField showAll="0"/>
    <pivotField axis="axisPage" numFmtId="14" showAll="0">
      <items count="2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4"/>
        <item x="133"/>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showAll="0"/>
    <pivotField showAll="0"/>
    <pivotField showAll="0"/>
    <pivotField dataField="1" showAll="0"/>
    <pivotField showAll="0"/>
    <pivotField axis="axisRow" showAll="0">
      <items count="8">
        <item x="0"/>
        <item x="2"/>
        <item x="6"/>
        <item x="1"/>
        <item x="4"/>
        <item x="5"/>
        <item x="3"/>
        <item t="default"/>
      </items>
    </pivotField>
    <pivotField showAll="0"/>
    <pivotField showAll="0" defaultSubtotal="0">
      <items count="14">
        <item h="1" x="0"/>
        <item x="1"/>
        <item h="1" x="2"/>
        <item h="1" x="3"/>
        <item h="1" x="4"/>
        <item h="1" x="5"/>
        <item h="1" x="6"/>
        <item h="1" x="7"/>
        <item h="1" x="8"/>
        <item h="1" x="9"/>
        <item h="1" x="10"/>
        <item h="1" x="11"/>
        <item h="1" x="12"/>
        <item h="1" x="13"/>
      </items>
    </pivotField>
  </pivotFields>
  <rowFields count="1">
    <field x="7"/>
  </rowFields>
  <rowItems count="8">
    <i>
      <x/>
    </i>
    <i>
      <x v="1"/>
    </i>
    <i>
      <x v="2"/>
    </i>
    <i>
      <x v="3"/>
    </i>
    <i>
      <x v="4"/>
    </i>
    <i>
      <x v="5"/>
    </i>
    <i>
      <x v="6"/>
    </i>
    <i t="grand">
      <x/>
    </i>
  </rowItems>
  <colItems count="1">
    <i/>
  </colItems>
  <pageFields count="1">
    <pageField fld="1" hier="-1"/>
  </pageFields>
  <dataFields count="1">
    <dataField name="Sum of Amount" fld="5" baseField="0" baseItem="0" numFmtId="3"/>
  </dataFields>
  <formats count="7">
    <format dxfId="58">
      <pivotArea type="all" dataOnly="0" outline="0" fieldPosition="0"/>
    </format>
    <format dxfId="57">
      <pivotArea outline="0" collapsedLevelsAreSubtotals="1" fieldPosition="0"/>
    </format>
    <format dxfId="56">
      <pivotArea field="7" type="button" dataOnly="0" labelOnly="1" outline="0" axis="axisRow" fieldPosition="0"/>
    </format>
    <format dxfId="55">
      <pivotArea dataOnly="0" labelOnly="1" fieldPosition="0">
        <references count="1">
          <reference field="7" count="0"/>
        </references>
      </pivotArea>
    </format>
    <format dxfId="54">
      <pivotArea dataOnly="0" labelOnly="1" grandRow="1" outline="0" fieldPosition="0"/>
    </format>
    <format dxfId="53">
      <pivotArea dataOnly="0" labelOnly="1" outline="0" axis="axisValues" fieldPosition="0"/>
    </format>
    <format dxfId="5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283596-EDDD-4ADA-9323-4DAAF6F19280}" name="PTTreeMap"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rowHeaderCaption="Category">
  <location ref="S3:U10" firstHeaderRow="1" firstDataRow="1" firstDataCol="2" rowPageCount="1" colPageCount="1"/>
  <pivotFields count="10">
    <pivotField compact="0" outline="0" showAll="0"/>
    <pivotField compact="0" numFmtId="14" outline="0" showAll="0">
      <items count="2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4"/>
        <item x="133"/>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compact="0" outline="0" showAll="0"/>
    <pivotField dataField="1" compact="0" outline="0" showAll="0"/>
    <pivotField compact="0" outline="0" showAll="0"/>
    <pivotField compact="0" outline="0" showAll="0"/>
    <pivotField axis="axisRow" compact="0" outline="0" showAll="0">
      <items count="19">
        <item x="8"/>
        <item x="1"/>
        <item x="12"/>
        <item x="16"/>
        <item x="15"/>
        <item x="7"/>
        <item x="17"/>
        <item x="5"/>
        <item x="14"/>
        <item x="4"/>
        <item x="11"/>
        <item x="6"/>
        <item x="3"/>
        <item x="13"/>
        <item x="2"/>
        <item x="9"/>
        <item x="0"/>
        <item x="10"/>
        <item t="default"/>
      </items>
    </pivotField>
    <pivotField axis="axisRow" compact="0" outline="0" showAll="0" defaultSubtotal="0">
      <items count="7">
        <item x="6"/>
        <item x="1"/>
        <item x="4"/>
        <item h="1" x="2"/>
        <item h="1" x="5"/>
        <item h="1" x="0"/>
        <item h="1" x="3"/>
      </items>
    </pivotField>
    <pivotField axis="axisPage" compact="0" outline="0" showAll="0">
      <items count="3">
        <item x="1"/>
        <item x="0"/>
        <item t="default"/>
      </items>
    </pivotField>
    <pivotField compact="0" outline="0" showAll="0" defaultSubtotal="0">
      <items count="14">
        <item h="1" x="0"/>
        <item x="1"/>
        <item h="1" x="2"/>
        <item h="1" x="3"/>
        <item h="1" x="4"/>
        <item h="1" x="5"/>
        <item h="1" x="6"/>
        <item h="1" x="7"/>
        <item h="1" x="8"/>
        <item h="1" x="9"/>
        <item h="1" x="10"/>
        <item h="1" x="11"/>
        <item h="1" x="12"/>
        <item h="1" x="13"/>
      </items>
    </pivotField>
  </pivotFields>
  <rowFields count="2">
    <field x="7"/>
    <field x="6"/>
  </rowFields>
  <rowItems count="7">
    <i>
      <x/>
      <x v="4"/>
    </i>
    <i>
      <x v="1"/>
      <x v="1"/>
    </i>
    <i r="1">
      <x v="15"/>
    </i>
    <i>
      <x v="2"/>
      <x/>
    </i>
    <i r="1">
      <x v="5"/>
    </i>
    <i r="1">
      <x v="8"/>
    </i>
    <i r="1">
      <x v="10"/>
    </i>
  </rowItems>
  <colItems count="1">
    <i/>
  </colItems>
  <pageFields count="1">
    <pageField fld="8" hier="-1"/>
  </pageFields>
  <dataFields count="1">
    <dataField name="Sum of Debit" fld="3" baseField="0" baseItem="0"/>
  </dataFields>
  <formats count="12">
    <format dxfId="70">
      <pivotArea type="all" dataOnly="0" outline="0" fieldPosition="0"/>
    </format>
    <format dxfId="69">
      <pivotArea outline="0" collapsedLevelsAreSubtotals="1" fieldPosition="0"/>
    </format>
    <format dxfId="68">
      <pivotArea field="7" type="button" dataOnly="0" labelOnly="1" outline="0" axis="axisRow" fieldPosition="0"/>
    </format>
    <format dxfId="67">
      <pivotArea field="6" type="button" dataOnly="0" labelOnly="1" outline="0" axis="axisRow" fieldPosition="1"/>
    </format>
    <format dxfId="66">
      <pivotArea dataOnly="0" labelOnly="1" outline="0" fieldPosition="0">
        <references count="1">
          <reference field="7" count="6">
            <x v="0"/>
            <x v="1"/>
            <x v="2"/>
            <x v="3"/>
            <x v="4"/>
            <x v="6"/>
          </reference>
        </references>
      </pivotArea>
    </format>
    <format dxfId="65">
      <pivotArea dataOnly="0" labelOnly="1" outline="0" fieldPosition="0">
        <references count="2">
          <reference field="6" count="1">
            <x v="4"/>
          </reference>
          <reference field="7" count="1" selected="0">
            <x v="0"/>
          </reference>
        </references>
      </pivotArea>
    </format>
    <format dxfId="64">
      <pivotArea dataOnly="0" labelOnly="1" outline="0" fieldPosition="0">
        <references count="2">
          <reference field="6" count="2">
            <x v="1"/>
            <x v="15"/>
          </reference>
          <reference field="7" count="1" selected="0">
            <x v="1"/>
          </reference>
        </references>
      </pivotArea>
    </format>
    <format dxfId="63">
      <pivotArea dataOnly="0" labelOnly="1" outline="0" fieldPosition="0">
        <references count="2">
          <reference field="6" count="5">
            <x v="0"/>
            <x v="5"/>
            <x v="6"/>
            <x v="8"/>
            <x v="10"/>
          </reference>
          <reference field="7" count="1" selected="0">
            <x v="2"/>
          </reference>
        </references>
      </pivotArea>
    </format>
    <format dxfId="62">
      <pivotArea dataOnly="0" labelOnly="1" outline="0" fieldPosition="0">
        <references count="2">
          <reference field="6" count="4">
            <x v="7"/>
            <x v="9"/>
            <x v="13"/>
            <x v="14"/>
          </reference>
          <reference field="7" count="1" selected="0">
            <x v="3"/>
          </reference>
        </references>
      </pivotArea>
    </format>
    <format dxfId="61">
      <pivotArea dataOnly="0" labelOnly="1" outline="0" fieldPosition="0">
        <references count="2">
          <reference field="6" count="2">
            <x v="2"/>
            <x v="3"/>
          </reference>
          <reference field="7" count="1" selected="0">
            <x v="4"/>
          </reference>
        </references>
      </pivotArea>
    </format>
    <format dxfId="60">
      <pivotArea dataOnly="0" labelOnly="1" outline="0" fieldPosition="0">
        <references count="2">
          <reference field="6" count="3">
            <x v="11"/>
            <x v="12"/>
            <x v="17"/>
          </reference>
          <reference field="7" count="1" selected="0">
            <x v="6"/>
          </reference>
        </references>
      </pivotArea>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213671-429E-48E7-A041-897BCB6DBBEC}" name="PTLineChar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colHeaderCaption="Category">
  <location ref="J3:P14" firstHeaderRow="1" firstDataRow="2" firstDataCol="1" rowPageCount="1" colPageCount="1"/>
  <pivotFields count="10">
    <pivotField showAll="0"/>
    <pivotField numFmtId="14" showAll="0">
      <items count="2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4"/>
        <item x="133"/>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showAll="0"/>
    <pivotField dataField="1" showAll="0"/>
    <pivotField showAll="0"/>
    <pivotField showAll="0"/>
    <pivotField showAll="0"/>
    <pivotField axis="axisCol" showAll="0" sortType="descending">
      <items count="8">
        <item x="6"/>
        <item x="1"/>
        <item x="4"/>
        <item x="2"/>
        <item x="5"/>
        <item x="0"/>
        <item x="3"/>
        <item t="default"/>
      </items>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axis="axisRow" showAll="0">
      <items count="15">
        <item x="0"/>
        <item x="1"/>
        <item x="2"/>
        <item x="3"/>
        <item x="4"/>
        <item x="5"/>
        <item x="6"/>
        <item x="7"/>
        <item x="8"/>
        <item x="9"/>
        <item x="10"/>
        <item x="11"/>
        <item x="12"/>
        <item x="13"/>
        <item t="default"/>
      </items>
    </pivotField>
  </pivotFields>
  <rowFields count="1">
    <field x="9"/>
  </rowFields>
  <rowItems count="10">
    <i>
      <x v="1"/>
    </i>
    <i>
      <x v="2"/>
    </i>
    <i>
      <x v="3"/>
    </i>
    <i>
      <x v="4"/>
    </i>
    <i>
      <x v="5"/>
    </i>
    <i>
      <x v="6"/>
    </i>
    <i>
      <x v="7"/>
    </i>
    <i>
      <x v="8"/>
    </i>
    <i>
      <x v="9"/>
    </i>
    <i>
      <x v="10"/>
    </i>
  </rowItems>
  <colFields count="1">
    <field x="7"/>
  </colFields>
  <colItems count="6">
    <i>
      <x v="3"/>
    </i>
    <i>
      <x v="2"/>
    </i>
    <i>
      <x v="6"/>
    </i>
    <i>
      <x v="1"/>
    </i>
    <i>
      <x/>
    </i>
    <i>
      <x v="4"/>
    </i>
  </colItems>
  <pageFields count="1">
    <pageField fld="8" item="0" hier="-1"/>
  </pageFields>
  <dataFields count="1">
    <dataField name="Sum of Debit" fld="3" baseField="0" baseItem="0" numFmtId="3"/>
  </dataFields>
  <formats count="7">
    <format dxfId="77">
      <pivotArea type="all" dataOnly="0" outline="0" fieldPosition="0"/>
    </format>
    <format dxfId="76">
      <pivotArea outline="0" collapsedLevelsAreSubtotals="1" fieldPosition="0"/>
    </format>
    <format dxfId="75">
      <pivotArea field="9" type="button" dataOnly="0" labelOnly="1" outline="0" axis="axisRow" fieldPosition="0"/>
    </format>
    <format dxfId="74">
      <pivotArea dataOnly="0" labelOnly="1" fieldPosition="0">
        <references count="1">
          <reference field="9" count="10">
            <x v="1"/>
            <x v="2"/>
            <x v="3"/>
            <x v="4"/>
            <x v="5"/>
            <x v="6"/>
            <x v="7"/>
            <x v="8"/>
            <x v="9"/>
            <x v="10"/>
          </reference>
        </references>
      </pivotArea>
    </format>
    <format dxfId="73">
      <pivotArea dataOnly="0" labelOnly="1" grandRow="1" outline="0" fieldPosition="0"/>
    </format>
    <format dxfId="72">
      <pivotArea dataOnly="0" labelOnly="1" outline="0" axis="axisValues" fieldPosition="0"/>
    </format>
    <format dxfId="71">
      <pivotArea outline="0" fieldPosition="0">
        <references count="1">
          <reference field="4294967294" count="1">
            <x v="0"/>
          </reference>
        </references>
      </pivotArea>
    </format>
  </formats>
  <chartFormats count="14">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2">
          <reference field="4294967294" count="1" selected="0">
            <x v="0"/>
          </reference>
          <reference field="7" count="1" selected="0">
            <x v="3"/>
          </reference>
        </references>
      </pivotArea>
    </chartFormat>
    <chartFormat chart="11" format="1" series="1">
      <pivotArea type="data" outline="0" fieldPosition="0">
        <references count="2">
          <reference field="4294967294" count="1" selected="0">
            <x v="0"/>
          </reference>
          <reference field="7" count="1" selected="0">
            <x v="2"/>
          </reference>
        </references>
      </pivotArea>
    </chartFormat>
    <chartFormat chart="11" format="2" series="1">
      <pivotArea type="data" outline="0" fieldPosition="0">
        <references count="2">
          <reference field="4294967294" count="1" selected="0">
            <x v="0"/>
          </reference>
          <reference field="7" count="1" selected="0">
            <x v="6"/>
          </reference>
        </references>
      </pivotArea>
    </chartFormat>
    <chartFormat chart="11" format="3" series="1">
      <pivotArea type="data" outline="0" fieldPosition="0">
        <references count="2">
          <reference field="4294967294" count="1" selected="0">
            <x v="0"/>
          </reference>
          <reference field="7" count="1" selected="0">
            <x v="1"/>
          </reference>
        </references>
      </pivotArea>
    </chartFormat>
    <chartFormat chart="11" format="4" series="1">
      <pivotArea type="data" outline="0" fieldPosition="0">
        <references count="2">
          <reference field="4294967294" count="1" selected="0">
            <x v="0"/>
          </reference>
          <reference field="7" count="1" selected="0">
            <x v="0"/>
          </reference>
        </references>
      </pivotArea>
    </chartFormat>
    <chartFormat chart="11" format="5" series="1">
      <pivotArea type="data" outline="0" fieldPosition="0">
        <references count="2">
          <reference field="4294967294" count="1" selected="0">
            <x v="0"/>
          </reference>
          <reference field="7" count="1" selected="0">
            <x v="4"/>
          </reference>
        </references>
      </pivotArea>
    </chartFormat>
    <chartFormat chart="15" format="12" series="1">
      <pivotArea type="data" outline="0" fieldPosition="0">
        <references count="2">
          <reference field="4294967294" count="1" selected="0">
            <x v="0"/>
          </reference>
          <reference field="7" count="1" selected="0">
            <x v="3"/>
          </reference>
        </references>
      </pivotArea>
    </chartFormat>
    <chartFormat chart="15" format="13" series="1">
      <pivotArea type="data" outline="0" fieldPosition="0">
        <references count="2">
          <reference field="4294967294" count="1" selected="0">
            <x v="0"/>
          </reference>
          <reference field="7" count="1" selected="0">
            <x v="2"/>
          </reference>
        </references>
      </pivotArea>
    </chartFormat>
    <chartFormat chart="15" format="14" series="1">
      <pivotArea type="data" outline="0" fieldPosition="0">
        <references count="2">
          <reference field="4294967294" count="1" selected="0">
            <x v="0"/>
          </reference>
          <reference field="7" count="1" selected="0">
            <x v="6"/>
          </reference>
        </references>
      </pivotArea>
    </chartFormat>
    <chartFormat chart="15" format="15" series="1">
      <pivotArea type="data" outline="0" fieldPosition="0">
        <references count="2">
          <reference field="4294967294" count="1" selected="0">
            <x v="0"/>
          </reference>
          <reference field="7" count="1" selected="0">
            <x v="1"/>
          </reference>
        </references>
      </pivotArea>
    </chartFormat>
    <chartFormat chart="15" format="16" series="1">
      <pivotArea type="data" outline="0" fieldPosition="0">
        <references count="2">
          <reference field="4294967294" count="1" selected="0">
            <x v="0"/>
          </reference>
          <reference field="7" count="1" selected="0">
            <x v="0"/>
          </reference>
        </references>
      </pivotArea>
    </chartFormat>
    <chartFormat chart="15" format="17"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D0C83BC-0A4A-42AE-9946-E2F7D91C4C85}" sourceName="Category">
  <pivotTables>
    <pivotTable tabId="5" name="PTTreeMap"/>
    <pivotTable tabId="5" name="PTExpChart"/>
    <pivotTable tabId="5" name="PTSlicer"/>
  </pivotTables>
  <data>
    <tabular pivotCacheId="1998114067">
      <items count="7">
        <i x="6" s="1"/>
        <i x="1" s="1"/>
        <i x="4" s="1"/>
        <i x="2"/>
        <i x="5"/>
        <i x="0"/>
        <i x="3"/>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8485DACF-2445-4559-BDF7-A2E154E2F5D7}" sourceName="Months (Date)">
  <pivotTables>
    <pivotTable tabId="5" name="PTTreeMap"/>
    <pivotTable tabId="5" name="PTTop5"/>
    <pivotTable tabId="5" name="PTWaterfall"/>
  </pivotTables>
  <data>
    <tabular pivotCacheId="1998114067">
      <items count="14">
        <i x="1" s="1"/>
        <i x="2"/>
        <i x="3"/>
        <i x="4"/>
        <i x="5"/>
        <i x="6"/>
        <i x="7"/>
        <i x="8"/>
        <i x="9"/>
        <i x="10"/>
        <i x="11" nd="1"/>
        <i x="12"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3B44268-B766-42C6-BCDE-DEAAB04D1B95}" cache="Slicer_Category" caption="Category" rowHeight="274320"/>
  <slicer name="Months (Date)" xr10:uid="{7CF7C1DD-3B71-4D99-BDCA-C31C7E1921D4}" cache="Slicer_Months__Date" caption="Months" columnCount="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063E47-13DF-47AD-8895-5DF25FD9F06D}" name="Transactions" displayName="Transactions" ref="A1:I474" totalsRowShown="0" headerRowDxfId="16" dataDxfId="15">
  <tableColumns count="9">
    <tableColumn id="1" xr3:uid="{C7629C73-6F78-4503-BBB0-D2172A651072}" name="Account" dataDxfId="14"/>
    <tableColumn id="2" xr3:uid="{75FB0919-8A80-4847-BBB6-227EB2AC9DA7}" name="Date" dataDxfId="13"/>
    <tableColumn id="3" xr3:uid="{9FFFB791-6DF0-4387-9C3B-6643639BEC70}" name="Description" dataDxfId="12"/>
    <tableColumn id="4" xr3:uid="{B86D9D80-DC7B-4A24-8190-44C229BDBAC1}" name="Debit" dataDxfId="11"/>
    <tableColumn id="5" xr3:uid="{64381AE3-1BED-4039-A3E3-00924BF563B4}" name="Credit" dataDxfId="10"/>
    <tableColumn id="10" xr3:uid="{068707AE-EC1E-4EB3-B3E9-1E72BAA10105}" name="Amount" dataDxfId="9">
      <calculatedColumnFormula>E2-D2</calculatedColumnFormula>
    </tableColumn>
    <tableColumn id="9" xr3:uid="{F2D3D421-8933-40A9-B59B-11625DE4E96C}" name="Sub-category" dataDxfId="8"/>
    <tableColumn id="6" xr3:uid="{24AC445B-8AE8-4884-B8FF-9BEC4B3787E4}" name="Category" dataDxfId="7">
      <calculatedColumnFormula>VLOOKUP(Transactions[[#This Row],[Sub-category]],TblDV45[#All],2)</calculatedColumnFormula>
    </tableColumn>
    <tableColumn id="7" xr3:uid="{75B5F6F5-A366-449D-9ECC-370518269865}" name="Category Type" dataDxfId="6">
      <calculatedColumnFormula>VLOOKUP(Transactions[[#This Row],[Sub-category]],TblDV45[#All],3)</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5E8E7E-5A15-4DEB-A38A-222572073E99}" name="TblDV45" displayName="TblDV45" ref="M6:O24" totalsRowShown="0" headerRowDxfId="5" dataDxfId="3" headerRowBorderDxfId="4">
  <autoFilter ref="M6:O24" xr:uid="{7F5E8E7E-5A15-4DEB-A38A-222572073E99}"/>
  <tableColumns count="3">
    <tableColumn id="1" xr3:uid="{A6321960-3311-45AF-9552-B4290406D485}" name="Sub-category" dataDxfId="2"/>
    <tableColumn id="2" xr3:uid="{C9762651-6A70-4EA9-B931-A086AFB7538B}" name="Category" dataDxfId="1"/>
    <tableColumn id="3" xr3:uid="{294EB87C-6193-4A29-89F0-7200D0FBAF8D}" name="Category Typ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E3BD7-FA84-43AA-9B56-3843C17E2BD2}">
  <dimension ref="K1:M41"/>
  <sheetViews>
    <sheetView showGridLines="0" tabSelected="1" zoomScale="60" zoomScaleNormal="60" workbookViewId="0">
      <selection activeCell="AG26" sqref="AG26"/>
    </sheetView>
  </sheetViews>
  <sheetFormatPr defaultRowHeight="14.4" x14ac:dyDescent="0.3"/>
  <cols>
    <col min="11" max="11" width="12.21875" bestFit="1" customWidth="1"/>
    <col min="12" max="12" width="9" customWidth="1"/>
    <col min="13" max="13" width="10.5546875" bestFit="1" customWidth="1"/>
  </cols>
  <sheetData>
    <row r="1" ht="14.4" customHeight="1" x14ac:dyDescent="0.3"/>
    <row r="35" spans="11:13" ht="19.8" customHeight="1" x14ac:dyDescent="0.3">
      <c r="K35" s="40" t="s">
        <v>77</v>
      </c>
    </row>
    <row r="36" spans="11:13" ht="8.4" customHeight="1" x14ac:dyDescent="0.3"/>
    <row r="37" spans="11:13" ht="20.399999999999999" customHeight="1" x14ac:dyDescent="0.3">
      <c r="K37" s="38" t="s">
        <v>14</v>
      </c>
      <c r="L37" s="39">
        <v>60000</v>
      </c>
      <c r="M37" s="39">
        <f>L37</f>
        <v>60000</v>
      </c>
    </row>
    <row r="38" spans="11:13" ht="20.399999999999999" customHeight="1" x14ac:dyDescent="0.3">
      <c r="K38" s="38" t="s">
        <v>16</v>
      </c>
      <c r="L38" s="39">
        <v>25000</v>
      </c>
      <c r="M38" s="39">
        <f t="shared" ref="M38:M41" si="0">L38</f>
        <v>25000</v>
      </c>
    </row>
    <row r="39" spans="11:13" ht="20.399999999999999" customHeight="1" x14ac:dyDescent="0.3">
      <c r="K39" s="38" t="s">
        <v>24</v>
      </c>
      <c r="L39" s="39">
        <v>13621.099999999999</v>
      </c>
      <c r="M39" s="39">
        <f t="shared" si="0"/>
        <v>13621.099999999999</v>
      </c>
    </row>
    <row r="40" spans="11:13" ht="20.399999999999999" customHeight="1" x14ac:dyDescent="0.3">
      <c r="K40" s="38" t="s">
        <v>12</v>
      </c>
      <c r="L40" s="39">
        <v>11150</v>
      </c>
      <c r="M40" s="39">
        <f t="shared" si="0"/>
        <v>11150</v>
      </c>
    </row>
    <row r="41" spans="11:13" ht="20.399999999999999" customHeight="1" x14ac:dyDescent="0.3">
      <c r="K41" s="38" t="s">
        <v>25</v>
      </c>
      <c r="L41" s="39">
        <v>19862.5</v>
      </c>
      <c r="M41" s="39">
        <f t="shared" si="0"/>
        <v>19862.5</v>
      </c>
    </row>
  </sheetData>
  <conditionalFormatting sqref="M37:M41">
    <cfRule type="dataBar" priority="1">
      <dataBar showValue="0">
        <cfvo type="min"/>
        <cfvo type="max"/>
        <color theme="3" tint="0.39997558519241921"/>
      </dataBar>
      <extLst>
        <ext xmlns:x14="http://schemas.microsoft.com/office/spreadsheetml/2009/9/main" uri="{B025F937-C7B1-47D3-B67F-A62EFF666E3E}">
          <x14:id>{C9536A4C-CEEC-48B7-ACC1-EAED51ADF76E}</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C9536A4C-CEEC-48B7-ACC1-EAED51ADF76E}">
            <x14:dataBar minLength="0" maxLength="100" gradient="0">
              <x14:cfvo type="autoMin"/>
              <x14:cfvo type="autoMax"/>
              <x14:negativeFillColor rgb="FFFF0000"/>
              <x14:axisColor rgb="FF000000"/>
            </x14:dataBar>
          </x14:cfRule>
          <xm:sqref>M37:M41</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40DA4-91A1-460C-9715-F2424A0AFEF0}">
  <dimension ref="B1:Y33"/>
  <sheetViews>
    <sheetView zoomScale="70" zoomScaleNormal="70" workbookViewId="0">
      <selection activeCell="W25" sqref="W25"/>
    </sheetView>
  </sheetViews>
  <sheetFormatPr defaultRowHeight="14.4" x14ac:dyDescent="0.3"/>
  <cols>
    <col min="1" max="1" width="1.88671875" customWidth="1"/>
    <col min="2" max="2" width="14.21875" bestFit="1" customWidth="1"/>
    <col min="3" max="3" width="11.5546875" bestFit="1" customWidth="1"/>
    <col min="6" max="6" width="12.44140625" bestFit="1" customWidth="1"/>
    <col min="7" max="7" width="11.5546875" bestFit="1" customWidth="1"/>
    <col min="10" max="10" width="12.44140625" bestFit="1" customWidth="1"/>
    <col min="11" max="11" width="14" bestFit="1" customWidth="1"/>
    <col min="12" max="12" width="12.109375" bestFit="1" customWidth="1"/>
    <col min="13" max="13" width="8.88671875" bestFit="1" customWidth="1"/>
    <col min="14" max="14" width="9.5546875" bestFit="1" customWidth="1"/>
    <col min="15" max="15" width="7" bestFit="1" customWidth="1"/>
    <col min="16" max="16" width="7.6640625" bestFit="1" customWidth="1"/>
    <col min="17" max="17" width="6.21875" bestFit="1" customWidth="1"/>
    <col min="18" max="18" width="10.5546875" bestFit="1" customWidth="1"/>
    <col min="19" max="19" width="13.44140625" bestFit="1" customWidth="1"/>
    <col min="20" max="20" width="13.5546875" bestFit="1" customWidth="1"/>
    <col min="21" max="21" width="31" bestFit="1" customWidth="1"/>
    <col min="22" max="22" width="7" bestFit="1" customWidth="1"/>
    <col min="23" max="23" width="6.5546875" bestFit="1" customWidth="1"/>
    <col min="24" max="24" width="12.44140625" bestFit="1" customWidth="1"/>
    <col min="25" max="25" width="6.6640625" bestFit="1" customWidth="1"/>
    <col min="26" max="26" width="10.44140625" bestFit="1" customWidth="1"/>
    <col min="27" max="27" width="12.21875" bestFit="1" customWidth="1"/>
    <col min="28" max="28" width="5" bestFit="1" customWidth="1"/>
    <col min="29" max="29" width="9.109375" bestFit="1" customWidth="1"/>
    <col min="30" max="30" width="5" bestFit="1" customWidth="1"/>
    <col min="31" max="31" width="7.44140625" bestFit="1" customWidth="1"/>
    <col min="32" max="32" width="7.77734375" bestFit="1" customWidth="1"/>
    <col min="33" max="33" width="6.109375" bestFit="1" customWidth="1"/>
    <col min="34" max="34" width="6" bestFit="1" customWidth="1"/>
    <col min="35" max="35" width="10" bestFit="1" customWidth="1"/>
    <col min="36" max="36" width="5" bestFit="1" customWidth="1"/>
    <col min="37" max="37" width="10.5546875" bestFit="1" customWidth="1"/>
  </cols>
  <sheetData>
    <row r="1" spans="2:25" x14ac:dyDescent="0.3">
      <c r="F1" s="12" t="s">
        <v>8</v>
      </c>
      <c r="G1" s="13" t="s">
        <v>64</v>
      </c>
      <c r="J1" s="12" t="s">
        <v>8</v>
      </c>
      <c r="K1" s="13" t="s">
        <v>50</v>
      </c>
      <c r="S1" s="12" t="s">
        <v>8</v>
      </c>
      <c r="T1" s="13" t="s">
        <v>64</v>
      </c>
      <c r="U1" t="str">
        <f>Y3&amp;"-"&amp;_xlfn.IFS(T23="(All)","YTD",T23="(Multiple Items)","Multiple Periods",TRUE,T23)</f>
        <v>Charity,Dining Out,Discretionary-YTD</v>
      </c>
      <c r="X1" s="12" t="s">
        <v>8</v>
      </c>
      <c r="Y1" s="13" t="s">
        <v>64</v>
      </c>
    </row>
    <row r="3" spans="2:25" x14ac:dyDescent="0.3">
      <c r="B3" s="6" t="s">
        <v>7</v>
      </c>
      <c r="C3" s="11" t="s">
        <v>61</v>
      </c>
      <c r="F3" s="6" t="s">
        <v>62</v>
      </c>
      <c r="G3" s="11" t="s">
        <v>61</v>
      </c>
      <c r="J3" s="1" t="s">
        <v>61</v>
      </c>
      <c r="K3" s="19" t="s">
        <v>7</v>
      </c>
      <c r="L3" s="20"/>
      <c r="M3" s="20"/>
      <c r="N3" s="20"/>
      <c r="O3" s="20"/>
      <c r="P3" s="2"/>
      <c r="S3" s="6" t="s">
        <v>7</v>
      </c>
      <c r="T3" s="6" t="s">
        <v>6</v>
      </c>
      <c r="U3" s="11" t="s">
        <v>61</v>
      </c>
      <c r="X3" s="6" t="s">
        <v>62</v>
      </c>
      <c r="Y3" t="str">
        <f>_xlfn.IFS(NOT(ISBLANK(X10)),"All Expenses",TRUE,_xlfn.TEXTJOIN(",",TRUE,X4:X10))</f>
        <v>Charity,Dining Out,Discretionary</v>
      </c>
    </row>
    <row r="4" spans="2:25" x14ac:dyDescent="0.3">
      <c r="B4" s="7" t="s">
        <v>54</v>
      </c>
      <c r="C4" s="3">
        <v>83484.099999999991</v>
      </c>
      <c r="F4" s="7" t="s">
        <v>65</v>
      </c>
      <c r="G4" s="16">
        <v>5945</v>
      </c>
      <c r="J4" s="6" t="s">
        <v>62</v>
      </c>
      <c r="K4" t="s">
        <v>54</v>
      </c>
      <c r="L4" t="s">
        <v>49</v>
      </c>
      <c r="M4" t="s">
        <v>55</v>
      </c>
      <c r="N4" t="s">
        <v>51</v>
      </c>
      <c r="O4" t="s">
        <v>53</v>
      </c>
      <c r="P4" s="21" t="s">
        <v>52</v>
      </c>
      <c r="S4" s="41" t="s">
        <v>53</v>
      </c>
      <c r="T4" s="11" t="s">
        <v>38</v>
      </c>
      <c r="U4" s="41">
        <v>551</v>
      </c>
      <c r="X4" s="7" t="s">
        <v>53</v>
      </c>
    </row>
    <row r="5" spans="2:25" x14ac:dyDescent="0.3">
      <c r="B5" s="8" t="s">
        <v>49</v>
      </c>
      <c r="C5" s="4">
        <v>45684</v>
      </c>
      <c r="F5" s="8" t="s">
        <v>66</v>
      </c>
      <c r="G5" s="17">
        <v>6273</v>
      </c>
      <c r="J5" s="7" t="s">
        <v>65</v>
      </c>
      <c r="K5" s="24">
        <v>8321</v>
      </c>
      <c r="L5" s="25">
        <v>3533</v>
      </c>
      <c r="M5" s="25">
        <v>3340</v>
      </c>
      <c r="N5" s="25">
        <v>1861</v>
      </c>
      <c r="O5" s="25">
        <v>551</v>
      </c>
      <c r="P5" s="26">
        <v>1200</v>
      </c>
      <c r="S5" s="42" t="s">
        <v>51</v>
      </c>
      <c r="T5" s="41" t="s">
        <v>12</v>
      </c>
      <c r="U5" s="42">
        <v>1050</v>
      </c>
      <c r="X5" s="8" t="s">
        <v>51</v>
      </c>
    </row>
    <row r="6" spans="2:25" x14ac:dyDescent="0.3">
      <c r="B6" s="8" t="s">
        <v>55</v>
      </c>
      <c r="C6" s="4">
        <v>33220</v>
      </c>
      <c r="F6" s="8" t="s">
        <v>67</v>
      </c>
      <c r="G6" s="17">
        <v>4951</v>
      </c>
      <c r="J6" s="8" t="s">
        <v>66</v>
      </c>
      <c r="K6" s="27">
        <v>8323.7999999999993</v>
      </c>
      <c r="L6" s="22">
        <v>3860.1</v>
      </c>
      <c r="M6" s="22">
        <v>3310</v>
      </c>
      <c r="N6" s="22">
        <v>1861.9</v>
      </c>
      <c r="O6" s="22">
        <v>551</v>
      </c>
      <c r="P6" s="14"/>
      <c r="S6" s="42"/>
      <c r="T6" s="43" t="s">
        <v>26</v>
      </c>
      <c r="U6" s="42">
        <v>811</v>
      </c>
      <c r="X6" s="9" t="s">
        <v>49</v>
      </c>
    </row>
    <row r="7" spans="2:25" x14ac:dyDescent="0.3">
      <c r="B7" s="8" t="s">
        <v>51</v>
      </c>
      <c r="C7" s="4">
        <v>21305.899999999998</v>
      </c>
      <c r="F7" s="8" t="s">
        <v>68</v>
      </c>
      <c r="G7" s="17">
        <v>6154.1</v>
      </c>
      <c r="J7" s="8" t="s">
        <v>67</v>
      </c>
      <c r="K7" s="27">
        <v>8465.9</v>
      </c>
      <c r="L7" s="22">
        <v>2187</v>
      </c>
      <c r="M7" s="22">
        <v>3360</v>
      </c>
      <c r="N7" s="22">
        <v>2213</v>
      </c>
      <c r="O7" s="22">
        <v>551</v>
      </c>
      <c r="P7" s="14">
        <v>100</v>
      </c>
      <c r="S7" s="42" t="s">
        <v>49</v>
      </c>
      <c r="T7" s="41" t="s">
        <v>25</v>
      </c>
      <c r="U7" s="42">
        <v>343</v>
      </c>
    </row>
    <row r="8" spans="2:25" x14ac:dyDescent="0.3">
      <c r="B8" s="8" t="s">
        <v>53</v>
      </c>
      <c r="C8" s="4">
        <v>5510</v>
      </c>
      <c r="F8" s="8" t="s">
        <v>69</v>
      </c>
      <c r="G8" s="17">
        <v>9068.2000000000007</v>
      </c>
      <c r="J8" s="8" t="s">
        <v>68</v>
      </c>
      <c r="K8" s="27">
        <v>8193.1</v>
      </c>
      <c r="L8" s="22">
        <v>3389</v>
      </c>
      <c r="M8" s="22">
        <v>3340</v>
      </c>
      <c r="N8" s="22">
        <v>2214.1</v>
      </c>
      <c r="O8" s="22">
        <v>551</v>
      </c>
      <c r="P8" s="14"/>
      <c r="S8" s="42"/>
      <c r="T8" s="42" t="s">
        <v>24</v>
      </c>
      <c r="U8" s="42">
        <v>2390</v>
      </c>
    </row>
    <row r="9" spans="2:25" x14ac:dyDescent="0.3">
      <c r="B9" s="9" t="s">
        <v>52</v>
      </c>
      <c r="C9" s="4">
        <v>1500</v>
      </c>
      <c r="F9" s="8" t="s">
        <v>70</v>
      </c>
      <c r="G9" s="17">
        <v>7410.4000000000005</v>
      </c>
      <c r="J9" s="8" t="s">
        <v>69</v>
      </c>
      <c r="K9" s="27">
        <v>8327.9</v>
      </c>
      <c r="L9" s="22">
        <v>6302</v>
      </c>
      <c r="M9" s="22">
        <v>3270</v>
      </c>
      <c r="N9" s="22">
        <v>2215.1999999999998</v>
      </c>
      <c r="O9" s="22">
        <v>551</v>
      </c>
      <c r="P9" s="14">
        <v>100</v>
      </c>
      <c r="S9" s="42"/>
      <c r="T9" s="42" t="s">
        <v>34</v>
      </c>
      <c r="U9" s="42">
        <v>500</v>
      </c>
    </row>
    <row r="10" spans="2:25" x14ac:dyDescent="0.3">
      <c r="B10" s="10" t="s">
        <v>63</v>
      </c>
      <c r="C10" s="5">
        <v>190704</v>
      </c>
      <c r="F10" s="8" t="s">
        <v>71</v>
      </c>
      <c r="G10" s="17">
        <v>8528.6</v>
      </c>
      <c r="J10" s="8" t="s">
        <v>70</v>
      </c>
      <c r="K10" s="27">
        <v>8359.1</v>
      </c>
      <c r="L10" s="22">
        <v>4693.3</v>
      </c>
      <c r="M10" s="22">
        <v>3340</v>
      </c>
      <c r="N10" s="22">
        <v>2166.1</v>
      </c>
      <c r="O10" s="22">
        <v>551</v>
      </c>
      <c r="P10" s="14"/>
      <c r="S10" s="43"/>
      <c r="T10" s="43" t="s">
        <v>30</v>
      </c>
      <c r="U10" s="43">
        <v>300</v>
      </c>
    </row>
    <row r="11" spans="2:25" x14ac:dyDescent="0.3">
      <c r="F11" s="8" t="s">
        <v>72</v>
      </c>
      <c r="G11" s="17">
        <v>7487.5999999999995</v>
      </c>
      <c r="J11" s="8" t="s">
        <v>71</v>
      </c>
      <c r="K11" s="27">
        <v>8489.1</v>
      </c>
      <c r="L11" s="22">
        <v>5810.4000000000005</v>
      </c>
      <c r="M11" s="22">
        <v>3350</v>
      </c>
      <c r="N11" s="22">
        <v>2167.1999999999998</v>
      </c>
      <c r="O11" s="22">
        <v>551</v>
      </c>
      <c r="P11" s="14"/>
    </row>
    <row r="12" spans="2:25" x14ac:dyDescent="0.3">
      <c r="F12" s="8" t="s">
        <v>73</v>
      </c>
      <c r="G12" s="17">
        <v>7069.3</v>
      </c>
      <c r="J12" s="8" t="s">
        <v>72</v>
      </c>
      <c r="K12" s="27">
        <v>8472.1</v>
      </c>
      <c r="L12" s="22">
        <v>4718.4000000000005</v>
      </c>
      <c r="M12" s="22">
        <v>3295</v>
      </c>
      <c r="N12" s="22">
        <v>2218.1999999999998</v>
      </c>
      <c r="O12" s="22">
        <v>551</v>
      </c>
      <c r="P12" s="14"/>
    </row>
    <row r="13" spans="2:25" x14ac:dyDescent="0.3">
      <c r="F13" s="9" t="s">
        <v>74</v>
      </c>
      <c r="G13" s="17">
        <v>9612.7000000000007</v>
      </c>
      <c r="J13" s="8" t="s">
        <v>73</v>
      </c>
      <c r="K13" s="27">
        <v>8296.2999999999993</v>
      </c>
      <c r="L13" s="22">
        <v>4349.2</v>
      </c>
      <c r="M13" s="22">
        <v>3305</v>
      </c>
      <c r="N13" s="22">
        <v>2169.1</v>
      </c>
      <c r="O13" s="22">
        <v>551</v>
      </c>
      <c r="P13" s="14"/>
    </row>
    <row r="14" spans="2:25" x14ac:dyDescent="0.3">
      <c r="B14" s="6" t="s">
        <v>62</v>
      </c>
      <c r="C14" s="11" t="s">
        <v>61</v>
      </c>
      <c r="F14" s="10" t="s">
        <v>63</v>
      </c>
      <c r="G14" s="18">
        <v>72499.899999999994</v>
      </c>
      <c r="J14" s="9" t="s">
        <v>74</v>
      </c>
      <c r="K14" s="28">
        <v>8235.7999999999993</v>
      </c>
      <c r="L14" s="23">
        <v>6841.6</v>
      </c>
      <c r="M14" s="23">
        <v>3310</v>
      </c>
      <c r="N14" s="23">
        <v>2220.1</v>
      </c>
      <c r="O14" s="23">
        <v>551</v>
      </c>
      <c r="P14" s="15">
        <v>100</v>
      </c>
    </row>
    <row r="15" spans="2:25" x14ac:dyDescent="0.3">
      <c r="B15" s="7" t="s">
        <v>58</v>
      </c>
      <c r="C15" s="3">
        <v>112040</v>
      </c>
    </row>
    <row r="16" spans="2:25" x14ac:dyDescent="0.3">
      <c r="B16" s="9" t="s">
        <v>59</v>
      </c>
      <c r="C16" s="4">
        <v>78663.999999999971</v>
      </c>
    </row>
    <row r="17" spans="2:23" x14ac:dyDescent="0.3">
      <c r="B17" s="10" t="s">
        <v>63</v>
      </c>
      <c r="C17" s="5">
        <v>190703.99999999997</v>
      </c>
    </row>
    <row r="18" spans="2:23" x14ac:dyDescent="0.3">
      <c r="F18" s="6" t="s">
        <v>62</v>
      </c>
      <c r="G18" s="11" t="s">
        <v>75</v>
      </c>
    </row>
    <row r="19" spans="2:23" x14ac:dyDescent="0.3">
      <c r="F19" s="7" t="s">
        <v>65</v>
      </c>
      <c r="G19" s="16">
        <v>11194</v>
      </c>
    </row>
    <row r="20" spans="2:23" x14ac:dyDescent="0.3">
      <c r="F20" s="8" t="s">
        <v>66</v>
      </c>
      <c r="G20" s="17">
        <v>12093.199999999999</v>
      </c>
    </row>
    <row r="21" spans="2:23" x14ac:dyDescent="0.3">
      <c r="F21" s="8" t="s">
        <v>67</v>
      </c>
      <c r="G21" s="17">
        <v>13123.099999999999</v>
      </c>
    </row>
    <row r="22" spans="2:23" x14ac:dyDescent="0.3">
      <c r="F22" s="8" t="s">
        <v>68</v>
      </c>
      <c r="G22" s="17">
        <v>12312.799999999997</v>
      </c>
    </row>
    <row r="23" spans="2:23" x14ac:dyDescent="0.3">
      <c r="B23" s="6" t="s">
        <v>6</v>
      </c>
      <c r="C23" s="11" t="s">
        <v>61</v>
      </c>
      <c r="F23" s="8" t="s">
        <v>69</v>
      </c>
      <c r="G23" s="17">
        <v>9233.9000000000015</v>
      </c>
      <c r="S23" s="12" t="s">
        <v>1</v>
      </c>
      <c r="T23" s="13" t="s">
        <v>64</v>
      </c>
      <c r="W23" t="str">
        <f>"Expense by Category - "&amp;_xlfn.IFS(T23="(All)","YTD",T23="(Multiple Items)","Multiple Periods",TRUE,T23)</f>
        <v>Expense by Category - YTD</v>
      </c>
    </row>
    <row r="24" spans="2:23" x14ac:dyDescent="0.3">
      <c r="B24" s="7" t="s">
        <v>14</v>
      </c>
      <c r="C24" s="3">
        <v>6000</v>
      </c>
      <c r="F24" s="8" t="s">
        <v>70</v>
      </c>
      <c r="G24" s="17">
        <v>10890.499999999998</v>
      </c>
    </row>
    <row r="25" spans="2:23" x14ac:dyDescent="0.3">
      <c r="B25" s="8" t="s">
        <v>16</v>
      </c>
      <c r="C25" s="4">
        <v>2500</v>
      </c>
      <c r="F25" s="8" t="s">
        <v>71</v>
      </c>
      <c r="G25" s="17">
        <v>9632.3000000000011</v>
      </c>
      <c r="S25" s="6" t="s">
        <v>62</v>
      </c>
      <c r="T25" s="11" t="s">
        <v>75</v>
      </c>
    </row>
    <row r="26" spans="2:23" x14ac:dyDescent="0.3">
      <c r="B26" s="9" t="s">
        <v>24</v>
      </c>
      <c r="C26" s="4">
        <v>2390</v>
      </c>
      <c r="F26" s="8" t="s">
        <v>72</v>
      </c>
      <c r="G26" s="17">
        <v>10745.300000000001</v>
      </c>
      <c r="S26" s="7" t="s">
        <v>10</v>
      </c>
      <c r="T26" s="16">
        <v>30000</v>
      </c>
    </row>
    <row r="27" spans="2:23" x14ac:dyDescent="0.3">
      <c r="B27" s="44" t="s">
        <v>32</v>
      </c>
      <c r="C27" s="4">
        <v>1200</v>
      </c>
      <c r="F27" s="8" t="s">
        <v>73</v>
      </c>
      <c r="G27" s="17">
        <v>11329.4</v>
      </c>
      <c r="S27" s="8" t="s">
        <v>54</v>
      </c>
      <c r="T27" s="17">
        <v>-8321</v>
      </c>
    </row>
    <row r="28" spans="2:23" x14ac:dyDescent="0.3">
      <c r="B28" s="10" t="s">
        <v>12</v>
      </c>
      <c r="C28" s="5">
        <v>1050</v>
      </c>
      <c r="F28" s="9" t="s">
        <v>74</v>
      </c>
      <c r="G28" s="17">
        <v>8741.4999999999982</v>
      </c>
      <c r="S28" s="8" t="s">
        <v>53</v>
      </c>
      <c r="T28" s="17">
        <v>-551</v>
      </c>
    </row>
    <row r="29" spans="2:23" x14ac:dyDescent="0.3">
      <c r="F29" s="10" t="s">
        <v>76</v>
      </c>
      <c r="G29" s="18">
        <v>109295.99999999999</v>
      </c>
      <c r="S29" s="8" t="s">
        <v>51</v>
      </c>
      <c r="T29" s="17">
        <v>-1861</v>
      </c>
    </row>
    <row r="30" spans="2:23" x14ac:dyDescent="0.3">
      <c r="S30" s="8" t="s">
        <v>49</v>
      </c>
      <c r="T30" s="17">
        <v>-3533</v>
      </c>
    </row>
    <row r="31" spans="2:23" x14ac:dyDescent="0.3">
      <c r="S31" s="8" t="s">
        <v>52</v>
      </c>
      <c r="T31" s="17">
        <v>-1200</v>
      </c>
    </row>
    <row r="32" spans="2:23" x14ac:dyDescent="0.3">
      <c r="S32" s="9" t="s">
        <v>55</v>
      </c>
      <c r="T32" s="17">
        <v>-3340</v>
      </c>
    </row>
    <row r="33" spans="19:20" x14ac:dyDescent="0.3">
      <c r="S33" s="10" t="s">
        <v>76</v>
      </c>
      <c r="T33" s="18">
        <v>11194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B898F-39ED-40EB-A8F8-FD590B77679D}">
  <dimension ref="A1:O474"/>
  <sheetViews>
    <sheetView topLeftCell="A2" workbookViewId="0">
      <selection activeCell="A2" sqref="A1:A1048576"/>
    </sheetView>
  </sheetViews>
  <sheetFormatPr defaultColWidth="8.77734375" defaultRowHeight="14.4" x14ac:dyDescent="0.3"/>
  <cols>
    <col min="1" max="1" width="10" style="29" bestFit="1" customWidth="1"/>
    <col min="2" max="2" width="10.33203125" style="29" bestFit="1" customWidth="1"/>
    <col min="3" max="3" width="14.44140625" style="29" bestFit="1" customWidth="1"/>
    <col min="4" max="4" width="7.77734375" style="29" bestFit="1" customWidth="1"/>
    <col min="5" max="5" width="8.44140625" style="29" bestFit="1" customWidth="1"/>
    <col min="6" max="6" width="9.6640625" style="29" bestFit="1" customWidth="1"/>
    <col min="7" max="7" width="14.21875" style="29" bestFit="1" customWidth="1"/>
    <col min="8" max="8" width="18.33203125" style="29" customWidth="1"/>
    <col min="9" max="9" width="12.5546875" style="29" bestFit="1" customWidth="1"/>
    <col min="10" max="10" width="14.77734375" style="29" bestFit="1" customWidth="1"/>
    <col min="11" max="12" width="8.77734375" style="29"/>
    <col min="13" max="13" width="14.21875" style="29" bestFit="1" customWidth="1"/>
    <col min="14" max="14" width="13.44140625" style="29" bestFit="1" customWidth="1"/>
    <col min="15" max="15" width="14.77734375" style="29" bestFit="1" customWidth="1"/>
    <col min="16" max="16384" width="8.77734375" style="29"/>
  </cols>
  <sheetData>
    <row r="1" spans="1:15" x14ac:dyDescent="0.3">
      <c r="A1" s="29" t="s">
        <v>0</v>
      </c>
      <c r="B1" s="30" t="s">
        <v>1</v>
      </c>
      <c r="C1" s="29" t="s">
        <v>2</v>
      </c>
      <c r="D1" s="29" t="s">
        <v>3</v>
      </c>
      <c r="E1" s="29" t="s">
        <v>4</v>
      </c>
      <c r="F1" s="31" t="s">
        <v>5</v>
      </c>
      <c r="G1" s="32" t="s">
        <v>6</v>
      </c>
      <c r="H1" s="32" t="s">
        <v>7</v>
      </c>
      <c r="I1" s="31" t="s">
        <v>8</v>
      </c>
    </row>
    <row r="2" spans="1:15" x14ac:dyDescent="0.3">
      <c r="A2" s="29" t="s">
        <v>58</v>
      </c>
      <c r="B2" s="33">
        <v>44930</v>
      </c>
      <c r="C2" s="29" t="s">
        <v>9</v>
      </c>
      <c r="E2" s="29">
        <v>30000</v>
      </c>
      <c r="F2" s="34">
        <f t="shared" ref="F2:F64" si="0">E2-D2</f>
        <v>30000</v>
      </c>
      <c r="G2" s="34" t="s">
        <v>10</v>
      </c>
      <c r="H2" s="34" t="str">
        <f>VLOOKUP(Transactions[[#This Row],[Sub-category]],TblDV45[#All],2)</f>
        <v>Salary</v>
      </c>
      <c r="I2" s="34" t="str">
        <f>VLOOKUP(Transactions[[#This Row],[Sub-category]],TblDV45[#All],3)</f>
        <v>Income</v>
      </c>
    </row>
    <row r="3" spans="1:15" x14ac:dyDescent="0.3">
      <c r="A3" s="29" t="s">
        <v>59</v>
      </c>
      <c r="B3" s="33">
        <v>44930</v>
      </c>
      <c r="C3" s="29" t="s">
        <v>11</v>
      </c>
      <c r="D3" s="29">
        <v>50</v>
      </c>
      <c r="F3" s="34">
        <f t="shared" si="0"/>
        <v>-50</v>
      </c>
      <c r="G3" s="34" t="s">
        <v>12</v>
      </c>
      <c r="H3" s="34" t="str">
        <f>VLOOKUP(Transactions[[#This Row],[Sub-category]],TblDV45[#All],2)</f>
        <v>Dining Out</v>
      </c>
      <c r="I3" s="34" t="str">
        <f>VLOOKUP(Transactions[[#This Row],[Sub-category]],TblDV45[#All],3)</f>
        <v>Expense</v>
      </c>
    </row>
    <row r="4" spans="1:15" x14ac:dyDescent="0.3">
      <c r="A4" s="29" t="s">
        <v>58</v>
      </c>
      <c r="B4" s="33">
        <v>44931</v>
      </c>
      <c r="C4" s="29" t="s">
        <v>13</v>
      </c>
      <c r="D4" s="29">
        <v>6000</v>
      </c>
      <c r="F4" s="34">
        <f t="shared" si="0"/>
        <v>-6000</v>
      </c>
      <c r="G4" s="34" t="s">
        <v>14</v>
      </c>
      <c r="H4" s="34" t="str">
        <f>VLOOKUP(Transactions[[#This Row],[Sub-category]],TblDV45[#All],2)</f>
        <v>Living Expenses</v>
      </c>
      <c r="I4" s="34" t="str">
        <f>VLOOKUP(Transactions[[#This Row],[Sub-category]],TblDV45[#All],3)</f>
        <v>Expense</v>
      </c>
      <c r="J4" s="35"/>
      <c r="M4" s="45" t="s">
        <v>57</v>
      </c>
      <c r="N4" s="45"/>
      <c r="O4" s="45"/>
    </row>
    <row r="5" spans="1:15" x14ac:dyDescent="0.3">
      <c r="A5" s="29" t="s">
        <v>58</v>
      </c>
      <c r="B5" s="33">
        <v>44931</v>
      </c>
      <c r="C5" s="29" t="s">
        <v>15</v>
      </c>
      <c r="D5" s="29">
        <v>2500</v>
      </c>
      <c r="F5" s="34">
        <f t="shared" si="0"/>
        <v>-2500</v>
      </c>
      <c r="G5" s="34" t="s">
        <v>16</v>
      </c>
      <c r="H5" s="34" t="str">
        <f>VLOOKUP(Transactions[[#This Row],[Sub-category]],TblDV45[#All],2)</f>
        <v>Transport</v>
      </c>
      <c r="I5" s="34" t="str">
        <f>VLOOKUP(Transactions[[#This Row],[Sub-category]],TblDV45[#All],3)</f>
        <v>Expense</v>
      </c>
    </row>
    <row r="6" spans="1:15" x14ac:dyDescent="0.3">
      <c r="A6" s="29" t="s">
        <v>59</v>
      </c>
      <c r="B6" s="33">
        <v>44931</v>
      </c>
      <c r="C6" s="29" t="s">
        <v>11</v>
      </c>
      <c r="D6" s="29">
        <v>50</v>
      </c>
      <c r="F6" s="34">
        <f t="shared" si="0"/>
        <v>-50</v>
      </c>
      <c r="G6" s="34" t="s">
        <v>12</v>
      </c>
      <c r="H6" s="34" t="str">
        <f>VLOOKUP(Transactions[[#This Row],[Sub-category]],TblDV45[#All],2)</f>
        <v>Dining Out</v>
      </c>
      <c r="I6" s="34" t="str">
        <f>VLOOKUP(Transactions[[#This Row],[Sub-category]],TblDV45[#All],3)</f>
        <v>Expense</v>
      </c>
      <c r="J6" s="36"/>
      <c r="M6" s="37" t="s">
        <v>6</v>
      </c>
      <c r="N6" s="37" t="s">
        <v>7</v>
      </c>
      <c r="O6" s="37" t="s">
        <v>8</v>
      </c>
    </row>
    <row r="7" spans="1:15" x14ac:dyDescent="0.3">
      <c r="A7" s="29" t="s">
        <v>59</v>
      </c>
      <c r="B7" s="33">
        <v>44932</v>
      </c>
      <c r="C7" s="29" t="s">
        <v>11</v>
      </c>
      <c r="D7" s="29">
        <v>50</v>
      </c>
      <c r="F7" s="34">
        <f t="shared" si="0"/>
        <v>-50</v>
      </c>
      <c r="G7" s="34" t="s">
        <v>12</v>
      </c>
      <c r="H7" s="34" t="str">
        <f>VLOOKUP(Transactions[[#This Row],[Sub-category]],TblDV45[#All],2)</f>
        <v>Dining Out</v>
      </c>
      <c r="I7" s="34" t="str">
        <f>VLOOKUP(Transactions[[#This Row],[Sub-category]],TblDV45[#All],3)</f>
        <v>Expense</v>
      </c>
      <c r="M7" s="29" t="s">
        <v>25</v>
      </c>
      <c r="N7" s="29" t="s">
        <v>49</v>
      </c>
      <c r="O7" s="29" t="s">
        <v>50</v>
      </c>
    </row>
    <row r="8" spans="1:15" x14ac:dyDescent="0.3">
      <c r="A8" s="29" t="s">
        <v>59</v>
      </c>
      <c r="B8" s="33">
        <v>44933</v>
      </c>
      <c r="C8" s="29" t="s">
        <v>11</v>
      </c>
      <c r="D8" s="29">
        <v>50</v>
      </c>
      <c r="F8" s="34">
        <f t="shared" si="0"/>
        <v>-50</v>
      </c>
      <c r="G8" s="34" t="s">
        <v>12</v>
      </c>
      <c r="H8" s="34" t="str">
        <f>VLOOKUP(Transactions[[#This Row],[Sub-category]],TblDV45[#All],2)</f>
        <v>Dining Out</v>
      </c>
      <c r="I8" s="34" t="str">
        <f>VLOOKUP(Transactions[[#This Row],[Sub-category]],TblDV45[#All],3)</f>
        <v>Expense</v>
      </c>
      <c r="M8" s="29" t="s">
        <v>12</v>
      </c>
      <c r="N8" s="29" t="s">
        <v>51</v>
      </c>
      <c r="O8" s="29" t="s">
        <v>50</v>
      </c>
    </row>
    <row r="9" spans="1:15" x14ac:dyDescent="0.3">
      <c r="A9" s="29" t="s">
        <v>59</v>
      </c>
      <c r="B9" s="33">
        <v>44934</v>
      </c>
      <c r="C9" s="29" t="s">
        <v>11</v>
      </c>
      <c r="D9" s="29">
        <v>50</v>
      </c>
      <c r="F9" s="34">
        <f t="shared" si="0"/>
        <v>-50</v>
      </c>
      <c r="G9" s="34" t="s">
        <v>12</v>
      </c>
      <c r="H9" s="34" t="str">
        <f>VLOOKUP(Transactions[[#This Row],[Sub-category]],TblDV45[#All],2)</f>
        <v>Dining Out</v>
      </c>
      <c r="I9" s="34" t="str">
        <f>VLOOKUP(Transactions[[#This Row],[Sub-category]],TblDV45[#All],3)</f>
        <v>Expense</v>
      </c>
      <c r="M9" s="29" t="s">
        <v>32</v>
      </c>
      <c r="N9" s="29" t="s">
        <v>52</v>
      </c>
      <c r="O9" s="29" t="s">
        <v>50</v>
      </c>
    </row>
    <row r="10" spans="1:15" x14ac:dyDescent="0.3">
      <c r="A10" s="29" t="s">
        <v>59</v>
      </c>
      <c r="B10" s="33">
        <v>44934</v>
      </c>
      <c r="C10" s="29" t="s">
        <v>17</v>
      </c>
      <c r="D10" s="29">
        <v>155</v>
      </c>
      <c r="F10" s="34">
        <f t="shared" si="0"/>
        <v>-155</v>
      </c>
      <c r="G10" s="34" t="s">
        <v>18</v>
      </c>
      <c r="H10" s="34" t="str">
        <f>VLOOKUP(Transactions[[#This Row],[Sub-category]],TblDV45[#All],2)</f>
        <v>Living Expenses</v>
      </c>
      <c r="I10" s="34" t="str">
        <f>VLOOKUP(Transactions[[#This Row],[Sub-category]],TblDV45[#All],3)</f>
        <v>Expense</v>
      </c>
      <c r="M10" s="29" t="s">
        <v>42</v>
      </c>
      <c r="N10" s="29" t="s">
        <v>52</v>
      </c>
      <c r="O10" s="29" t="s">
        <v>50</v>
      </c>
    </row>
    <row r="11" spans="1:15" x14ac:dyDescent="0.3">
      <c r="A11" s="29" t="s">
        <v>58</v>
      </c>
      <c r="B11" s="33">
        <v>44937</v>
      </c>
      <c r="C11" s="29" t="s">
        <v>19</v>
      </c>
      <c r="D11" s="29">
        <v>1000</v>
      </c>
      <c r="F11" s="34">
        <f t="shared" si="0"/>
        <v>-1000</v>
      </c>
      <c r="G11" s="34" t="s">
        <v>20</v>
      </c>
      <c r="H11" s="34" t="str">
        <f>VLOOKUP(Transactions[[#This Row],[Sub-category]],TblDV45[#All],2)</f>
        <v>Living Expenses</v>
      </c>
      <c r="I11" s="34" t="str">
        <f>VLOOKUP(Transactions[[#This Row],[Sub-category]],TblDV45[#All],3)</f>
        <v>Expense</v>
      </c>
      <c r="M11" s="29" t="s">
        <v>38</v>
      </c>
      <c r="N11" s="29" t="s">
        <v>53</v>
      </c>
      <c r="O11" s="29" t="s">
        <v>50</v>
      </c>
    </row>
    <row r="12" spans="1:15" x14ac:dyDescent="0.3">
      <c r="A12" s="29" t="s">
        <v>59</v>
      </c>
      <c r="B12" s="33">
        <v>44937</v>
      </c>
      <c r="C12" s="29" t="s">
        <v>11</v>
      </c>
      <c r="D12" s="29">
        <v>50</v>
      </c>
      <c r="F12" s="34">
        <f t="shared" si="0"/>
        <v>-50</v>
      </c>
      <c r="G12" s="34" t="s">
        <v>12</v>
      </c>
      <c r="H12" s="34" t="str">
        <f>VLOOKUP(Transactions[[#This Row],[Sub-category]],TblDV45[#All],2)</f>
        <v>Dining Out</v>
      </c>
      <c r="I12" s="34" t="str">
        <f>VLOOKUP(Transactions[[#This Row],[Sub-category]],TblDV45[#All],3)</f>
        <v>Expense</v>
      </c>
      <c r="M12" s="29" t="s">
        <v>24</v>
      </c>
      <c r="N12" s="29" t="s">
        <v>49</v>
      </c>
      <c r="O12" s="29" t="s">
        <v>50</v>
      </c>
    </row>
    <row r="13" spans="1:15" x14ac:dyDescent="0.3">
      <c r="A13" s="29" t="s">
        <v>59</v>
      </c>
      <c r="B13" s="33">
        <v>44938</v>
      </c>
      <c r="C13" s="29" t="s">
        <v>11</v>
      </c>
      <c r="D13" s="29">
        <v>50</v>
      </c>
      <c r="F13" s="34">
        <f t="shared" si="0"/>
        <v>-50</v>
      </c>
      <c r="G13" s="34" t="s">
        <v>12</v>
      </c>
      <c r="H13" s="34" t="str">
        <f>VLOOKUP(Transactions[[#This Row],[Sub-category]],TblDV45[#All],2)</f>
        <v>Dining Out</v>
      </c>
      <c r="I13" s="34" t="str">
        <f>VLOOKUP(Transactions[[#This Row],[Sub-category]],TblDV45[#All],3)</f>
        <v>Expense</v>
      </c>
      <c r="M13" s="29" t="s">
        <v>45</v>
      </c>
      <c r="N13" s="29" t="s">
        <v>49</v>
      </c>
      <c r="O13" s="29" t="s">
        <v>50</v>
      </c>
    </row>
    <row r="14" spans="1:15" x14ac:dyDescent="0.3">
      <c r="A14" s="29" t="s">
        <v>59</v>
      </c>
      <c r="B14" s="33">
        <v>44939</v>
      </c>
      <c r="C14" s="29" t="s">
        <v>21</v>
      </c>
      <c r="D14" s="29">
        <v>300</v>
      </c>
      <c r="F14" s="34">
        <f t="shared" si="0"/>
        <v>-300</v>
      </c>
      <c r="G14" s="34" t="s">
        <v>22</v>
      </c>
      <c r="H14" s="34" t="str">
        <f>VLOOKUP(Transactions[[#This Row],[Sub-category]],TblDV45[#All],2)</f>
        <v>Transport</v>
      </c>
      <c r="I14" s="34" t="str">
        <f>VLOOKUP(Transactions[[#This Row],[Sub-category]],TblDV45[#All],3)</f>
        <v>Expense</v>
      </c>
      <c r="M14" s="29" t="s">
        <v>20</v>
      </c>
      <c r="N14" s="29" t="s">
        <v>54</v>
      </c>
      <c r="O14" s="29" t="s">
        <v>50</v>
      </c>
    </row>
    <row r="15" spans="1:15" x14ac:dyDescent="0.3">
      <c r="A15" s="29" t="s">
        <v>59</v>
      </c>
      <c r="B15" s="33">
        <v>44939</v>
      </c>
      <c r="C15" s="29" t="s">
        <v>11</v>
      </c>
      <c r="D15" s="29">
        <v>50</v>
      </c>
      <c r="F15" s="34">
        <f t="shared" si="0"/>
        <v>-50</v>
      </c>
      <c r="G15" s="34" t="s">
        <v>12</v>
      </c>
      <c r="H15" s="34" t="str">
        <f>VLOOKUP(Transactions[[#This Row],[Sub-category]],TblDV45[#All],2)</f>
        <v>Dining Out</v>
      </c>
      <c r="I15" s="34" t="str">
        <f>VLOOKUP(Transactions[[#This Row],[Sub-category]],TblDV45[#All],3)</f>
        <v>Expense</v>
      </c>
      <c r="M15" s="29" t="s">
        <v>34</v>
      </c>
      <c r="N15" s="29" t="s">
        <v>49</v>
      </c>
      <c r="O15" s="29" t="s">
        <v>50</v>
      </c>
    </row>
    <row r="16" spans="1:15" x14ac:dyDescent="0.3">
      <c r="A16" s="29" t="s">
        <v>59</v>
      </c>
      <c r="B16" s="33">
        <v>44940</v>
      </c>
      <c r="C16" s="29" t="s">
        <v>11</v>
      </c>
      <c r="D16" s="29">
        <v>50</v>
      </c>
      <c r="F16" s="34">
        <f t="shared" si="0"/>
        <v>-50</v>
      </c>
      <c r="G16" s="34" t="s">
        <v>12</v>
      </c>
      <c r="H16" s="34" t="str">
        <f>VLOOKUP(Transactions[[#This Row],[Sub-category]],TblDV45[#All],2)</f>
        <v>Dining Out</v>
      </c>
      <c r="I16" s="34" t="str">
        <f>VLOOKUP(Transactions[[#This Row],[Sub-category]],TblDV45[#All],3)</f>
        <v>Expense</v>
      </c>
      <c r="M16" s="29" t="s">
        <v>18</v>
      </c>
      <c r="N16" s="29" t="s">
        <v>54</v>
      </c>
      <c r="O16" s="29" t="s">
        <v>50</v>
      </c>
    </row>
    <row r="17" spans="1:15" x14ac:dyDescent="0.3">
      <c r="A17" s="29" t="s">
        <v>59</v>
      </c>
      <c r="B17" s="33">
        <v>44941</v>
      </c>
      <c r="C17" s="29" t="s">
        <v>17</v>
      </c>
      <c r="D17" s="29">
        <v>135</v>
      </c>
      <c r="F17" s="34">
        <f t="shared" si="0"/>
        <v>-135</v>
      </c>
      <c r="G17" s="34" t="s">
        <v>18</v>
      </c>
      <c r="H17" s="34" t="str">
        <f>VLOOKUP(Transactions[[#This Row],[Sub-category]],TblDV45[#All],2)</f>
        <v>Living Expenses</v>
      </c>
      <c r="I17" s="34" t="str">
        <f>VLOOKUP(Transactions[[#This Row],[Sub-category]],TblDV45[#All],3)</f>
        <v>Expense</v>
      </c>
      <c r="M17" s="29" t="s">
        <v>30</v>
      </c>
      <c r="N17" s="29" t="s">
        <v>49</v>
      </c>
      <c r="O17" s="29" t="s">
        <v>50</v>
      </c>
    </row>
    <row r="18" spans="1:15" x14ac:dyDescent="0.3">
      <c r="A18" s="29" t="s">
        <v>59</v>
      </c>
      <c r="B18" s="33">
        <v>44941</v>
      </c>
      <c r="C18" s="29" t="s">
        <v>11</v>
      </c>
      <c r="D18" s="29">
        <v>50</v>
      </c>
      <c r="F18" s="34">
        <f t="shared" si="0"/>
        <v>-50</v>
      </c>
      <c r="G18" s="34" t="s">
        <v>12</v>
      </c>
      <c r="H18" s="34" t="str">
        <f>VLOOKUP(Transactions[[#This Row],[Sub-category]],TblDV45[#All],2)</f>
        <v>Dining Out</v>
      </c>
      <c r="I18" s="34" t="str">
        <f>VLOOKUP(Transactions[[#This Row],[Sub-category]],TblDV45[#All],3)</f>
        <v>Expense</v>
      </c>
      <c r="M18" s="29" t="s">
        <v>22</v>
      </c>
      <c r="N18" s="29" t="s">
        <v>55</v>
      </c>
      <c r="O18" s="29" t="s">
        <v>50</v>
      </c>
    </row>
    <row r="19" spans="1:15" x14ac:dyDescent="0.3">
      <c r="A19" s="29" t="s">
        <v>59</v>
      </c>
      <c r="B19" s="33">
        <v>44942</v>
      </c>
      <c r="C19" s="29" t="s">
        <v>11</v>
      </c>
      <c r="D19" s="29">
        <v>50</v>
      </c>
      <c r="F19" s="34">
        <f t="shared" si="0"/>
        <v>-50</v>
      </c>
      <c r="G19" s="34" t="s">
        <v>12</v>
      </c>
      <c r="H19" s="34" t="str">
        <f>VLOOKUP(Transactions[[#This Row],[Sub-category]],TblDV45[#All],2)</f>
        <v>Dining Out</v>
      </c>
      <c r="I19" s="34" t="str">
        <f>VLOOKUP(Transactions[[#This Row],[Sub-category]],TblDV45[#All],3)</f>
        <v>Expense</v>
      </c>
      <c r="M19" s="29" t="s">
        <v>16</v>
      </c>
      <c r="N19" s="29" t="s">
        <v>55</v>
      </c>
      <c r="O19" s="29" t="s">
        <v>50</v>
      </c>
    </row>
    <row r="20" spans="1:15" x14ac:dyDescent="0.3">
      <c r="A20" s="29" t="s">
        <v>59</v>
      </c>
      <c r="B20" s="33">
        <v>44942</v>
      </c>
      <c r="C20" s="29" t="s">
        <v>23</v>
      </c>
      <c r="D20" s="29">
        <v>140</v>
      </c>
      <c r="F20" s="34">
        <f t="shared" si="0"/>
        <v>-140</v>
      </c>
      <c r="G20" s="34" t="s">
        <v>24</v>
      </c>
      <c r="H20" s="34" t="str">
        <f>VLOOKUP(Transactions[[#This Row],[Sub-category]],TblDV45[#All],2)</f>
        <v>Discretionary</v>
      </c>
      <c r="I20" s="34" t="str">
        <f>VLOOKUP(Transactions[[#This Row],[Sub-category]],TblDV45[#All],3)</f>
        <v>Expense</v>
      </c>
      <c r="M20" s="29" t="s">
        <v>33</v>
      </c>
      <c r="N20" s="29" t="s">
        <v>54</v>
      </c>
      <c r="O20" s="29" t="s">
        <v>50</v>
      </c>
    </row>
    <row r="21" spans="1:15" x14ac:dyDescent="0.3">
      <c r="A21" s="29" t="s">
        <v>59</v>
      </c>
      <c r="B21" s="33">
        <v>44942</v>
      </c>
      <c r="C21" s="29" t="s">
        <v>46</v>
      </c>
      <c r="D21" s="29">
        <v>198</v>
      </c>
      <c r="F21" s="34">
        <f t="shared" si="0"/>
        <v>-198</v>
      </c>
      <c r="G21" s="34" t="s">
        <v>25</v>
      </c>
      <c r="H21" s="34" t="str">
        <f>VLOOKUP(Transactions[[#This Row],[Sub-category]],TblDV45[#All],2)</f>
        <v>Discretionary</v>
      </c>
      <c r="I21" s="34" t="str">
        <f>VLOOKUP(Transactions[[#This Row],[Sub-category]],TblDV45[#All],3)</f>
        <v>Expense</v>
      </c>
      <c r="M21" s="29" t="s">
        <v>14</v>
      </c>
      <c r="N21" s="29" t="s">
        <v>54</v>
      </c>
      <c r="O21" s="29" t="s">
        <v>50</v>
      </c>
    </row>
    <row r="22" spans="1:15" x14ac:dyDescent="0.3">
      <c r="A22" s="29" t="s">
        <v>59</v>
      </c>
      <c r="B22" s="33">
        <v>44942</v>
      </c>
      <c r="C22" s="29" t="s">
        <v>48</v>
      </c>
      <c r="D22" s="29">
        <v>200</v>
      </c>
      <c r="F22" s="34">
        <f t="shared" si="0"/>
        <v>-200</v>
      </c>
      <c r="G22" s="34" t="s">
        <v>26</v>
      </c>
      <c r="H22" s="34" t="str">
        <f>VLOOKUP(Transactions[[#This Row],[Sub-category]],TblDV45[#All],2)</f>
        <v>Dining Out</v>
      </c>
      <c r="I22" s="34" t="str">
        <f>VLOOKUP(Transactions[[#This Row],[Sub-category]],TblDV45[#All],3)</f>
        <v>Expense</v>
      </c>
      <c r="M22" s="29" t="s">
        <v>26</v>
      </c>
      <c r="N22" s="29" t="s">
        <v>51</v>
      </c>
      <c r="O22" s="29" t="s">
        <v>50</v>
      </c>
    </row>
    <row r="23" spans="1:15" x14ac:dyDescent="0.3">
      <c r="A23" s="29" t="s">
        <v>59</v>
      </c>
      <c r="B23" s="33">
        <v>44943</v>
      </c>
      <c r="C23" s="29" t="s">
        <v>27</v>
      </c>
      <c r="D23" s="29">
        <v>120</v>
      </c>
      <c r="F23" s="34">
        <f t="shared" si="0"/>
        <v>-120</v>
      </c>
      <c r="G23" s="34" t="s">
        <v>28</v>
      </c>
      <c r="H23" s="34" t="str">
        <f>VLOOKUP(Transactions[[#This Row],[Sub-category]],TblDV45[#All],2)</f>
        <v>Transport</v>
      </c>
      <c r="I23" s="34" t="str">
        <f>VLOOKUP(Transactions[[#This Row],[Sub-category]],TblDV45[#All],3)</f>
        <v>Expense</v>
      </c>
      <c r="M23" s="29" t="s">
        <v>10</v>
      </c>
      <c r="N23" s="29" t="s">
        <v>10</v>
      </c>
      <c r="O23" s="29" t="s">
        <v>56</v>
      </c>
    </row>
    <row r="24" spans="1:15" x14ac:dyDescent="0.3">
      <c r="A24" s="29" t="s">
        <v>58</v>
      </c>
      <c r="B24" s="33">
        <v>44944</v>
      </c>
      <c r="C24" s="29" t="s">
        <v>29</v>
      </c>
      <c r="D24" s="29">
        <v>300</v>
      </c>
      <c r="F24" s="34">
        <f t="shared" si="0"/>
        <v>-300</v>
      </c>
      <c r="G24" s="34" t="s">
        <v>30</v>
      </c>
      <c r="H24" s="34" t="str">
        <f>VLOOKUP(Transactions[[#This Row],[Sub-category]],TblDV45[#All],2)</f>
        <v>Discretionary</v>
      </c>
      <c r="I24" s="34" t="str">
        <f>VLOOKUP(Transactions[[#This Row],[Sub-category]],TblDV45[#All],3)</f>
        <v>Expense</v>
      </c>
      <c r="M24" s="29" t="s">
        <v>28</v>
      </c>
      <c r="N24" s="29" t="s">
        <v>55</v>
      </c>
      <c r="O24" s="29" t="s">
        <v>50</v>
      </c>
    </row>
    <row r="25" spans="1:15" x14ac:dyDescent="0.3">
      <c r="A25" s="29" t="s">
        <v>59</v>
      </c>
      <c r="B25" s="33">
        <v>44944</v>
      </c>
      <c r="C25" s="29" t="s">
        <v>11</v>
      </c>
      <c r="D25" s="29">
        <v>50</v>
      </c>
      <c r="F25" s="34">
        <f t="shared" si="0"/>
        <v>-50</v>
      </c>
      <c r="G25" s="34" t="s">
        <v>12</v>
      </c>
      <c r="H25" s="34" t="str">
        <f>VLOOKUP(Transactions[[#This Row],[Sub-category]],TblDV45[#All],2)</f>
        <v>Dining Out</v>
      </c>
      <c r="I25" s="34" t="str">
        <f>VLOOKUP(Transactions[[#This Row],[Sub-category]],TblDV45[#All],3)</f>
        <v>Expense</v>
      </c>
    </row>
    <row r="26" spans="1:15" x14ac:dyDescent="0.3">
      <c r="A26" s="29" t="s">
        <v>59</v>
      </c>
      <c r="B26" s="33">
        <v>44945</v>
      </c>
      <c r="C26" s="29" t="s">
        <v>11</v>
      </c>
      <c r="D26" s="29">
        <v>50</v>
      </c>
      <c r="F26" s="34">
        <f t="shared" si="0"/>
        <v>-50</v>
      </c>
      <c r="G26" s="34" t="s">
        <v>12</v>
      </c>
      <c r="H26" s="34" t="str">
        <f>VLOOKUP(Transactions[[#This Row],[Sub-category]],TblDV45[#All],2)</f>
        <v>Dining Out</v>
      </c>
      <c r="I26" s="34" t="str">
        <f>VLOOKUP(Transactions[[#This Row],[Sub-category]],TblDV45[#All],3)</f>
        <v>Expense</v>
      </c>
    </row>
    <row r="27" spans="1:15" x14ac:dyDescent="0.3">
      <c r="A27" s="29" t="s">
        <v>58</v>
      </c>
      <c r="B27" s="33">
        <v>44945</v>
      </c>
      <c r="C27" s="29" t="s">
        <v>31</v>
      </c>
      <c r="D27" s="29">
        <v>1200</v>
      </c>
      <c r="F27" s="34">
        <f t="shared" si="0"/>
        <v>-1200</v>
      </c>
      <c r="G27" s="34" t="s">
        <v>32</v>
      </c>
      <c r="H27" s="34" t="str">
        <f>VLOOKUP(Transactions[[#This Row],[Sub-category]],TblDV45[#All],2)</f>
        <v>Medical</v>
      </c>
      <c r="I27" s="34" t="str">
        <f>VLOOKUP(Transactions[[#This Row],[Sub-category]],TblDV45[#All],3)</f>
        <v>Expense</v>
      </c>
    </row>
    <row r="28" spans="1:15" x14ac:dyDescent="0.3">
      <c r="A28" s="29" t="s">
        <v>58</v>
      </c>
      <c r="B28" s="33">
        <v>44945</v>
      </c>
      <c r="C28" s="29" t="s">
        <v>47</v>
      </c>
      <c r="D28" s="29">
        <v>699</v>
      </c>
      <c r="F28" s="34">
        <f t="shared" si="0"/>
        <v>-699</v>
      </c>
      <c r="G28" s="34" t="s">
        <v>33</v>
      </c>
      <c r="H28" s="34" t="str">
        <f>VLOOKUP(Transactions[[#This Row],[Sub-category]],TblDV45[#All],2)</f>
        <v>Living Expenses</v>
      </c>
      <c r="I28" s="34" t="str">
        <f>VLOOKUP(Transactions[[#This Row],[Sub-category]],TblDV45[#All],3)</f>
        <v>Expense</v>
      </c>
    </row>
    <row r="29" spans="1:15" x14ac:dyDescent="0.3">
      <c r="A29" s="29" t="s">
        <v>59</v>
      </c>
      <c r="B29" s="33">
        <v>44946</v>
      </c>
      <c r="C29" s="29" t="s">
        <v>34</v>
      </c>
      <c r="D29" s="29">
        <v>500</v>
      </c>
      <c r="F29" s="34">
        <f t="shared" si="0"/>
        <v>-500</v>
      </c>
      <c r="G29" s="34" t="s">
        <v>34</v>
      </c>
      <c r="H29" s="34" t="str">
        <f>VLOOKUP(Transactions[[#This Row],[Sub-category]],TblDV45[#All],2)</f>
        <v>Discretionary</v>
      </c>
      <c r="I29" s="34" t="str">
        <f>VLOOKUP(Transactions[[#This Row],[Sub-category]],TblDV45[#All],3)</f>
        <v>Expense</v>
      </c>
    </row>
    <row r="30" spans="1:15" x14ac:dyDescent="0.3">
      <c r="A30" s="29" t="s">
        <v>59</v>
      </c>
      <c r="B30" s="33">
        <v>44946</v>
      </c>
      <c r="C30" s="29" t="s">
        <v>35</v>
      </c>
      <c r="D30" s="29">
        <v>500</v>
      </c>
      <c r="F30" s="34">
        <f t="shared" si="0"/>
        <v>-500</v>
      </c>
      <c r="G30" s="34" t="s">
        <v>24</v>
      </c>
      <c r="H30" s="34" t="str">
        <f>VLOOKUP(Transactions[[#This Row],[Sub-category]],TblDV45[#All],2)</f>
        <v>Discretionary</v>
      </c>
      <c r="I30" s="34" t="str">
        <f>VLOOKUP(Transactions[[#This Row],[Sub-category]],TblDV45[#All],3)</f>
        <v>Expense</v>
      </c>
    </row>
    <row r="31" spans="1:15" x14ac:dyDescent="0.3">
      <c r="A31" s="29" t="s">
        <v>59</v>
      </c>
      <c r="B31" s="33">
        <v>44946</v>
      </c>
      <c r="C31" s="29" t="s">
        <v>11</v>
      </c>
      <c r="D31" s="29">
        <v>50</v>
      </c>
      <c r="F31" s="34">
        <f t="shared" si="0"/>
        <v>-50</v>
      </c>
      <c r="G31" s="34" t="s">
        <v>12</v>
      </c>
      <c r="H31" s="34" t="str">
        <f>VLOOKUP(Transactions[[#This Row],[Sub-category]],TblDV45[#All],2)</f>
        <v>Dining Out</v>
      </c>
      <c r="I31" s="34" t="str">
        <f>VLOOKUP(Transactions[[#This Row],[Sub-category]],TblDV45[#All],3)</f>
        <v>Expense</v>
      </c>
    </row>
    <row r="32" spans="1:15" x14ac:dyDescent="0.3">
      <c r="A32" s="29" t="s">
        <v>59</v>
      </c>
      <c r="B32" s="33">
        <v>44947</v>
      </c>
      <c r="C32" s="29" t="s">
        <v>11</v>
      </c>
      <c r="D32" s="29">
        <v>50</v>
      </c>
      <c r="F32" s="34">
        <f t="shared" si="0"/>
        <v>-50</v>
      </c>
      <c r="G32" s="34" t="s">
        <v>12</v>
      </c>
      <c r="H32" s="34" t="str">
        <f>VLOOKUP(Transactions[[#This Row],[Sub-category]],TblDV45[#All],2)</f>
        <v>Dining Out</v>
      </c>
      <c r="I32" s="34" t="str">
        <f>VLOOKUP(Transactions[[#This Row],[Sub-category]],TblDV45[#All],3)</f>
        <v>Expense</v>
      </c>
    </row>
    <row r="33" spans="1:9" x14ac:dyDescent="0.3">
      <c r="A33" s="29" t="s">
        <v>59</v>
      </c>
      <c r="B33" s="33">
        <v>44948</v>
      </c>
      <c r="C33" s="29" t="s">
        <v>11</v>
      </c>
      <c r="D33" s="29">
        <v>50</v>
      </c>
      <c r="F33" s="34">
        <f t="shared" si="0"/>
        <v>-50</v>
      </c>
      <c r="G33" s="34" t="s">
        <v>12</v>
      </c>
      <c r="H33" s="34" t="str">
        <f>VLOOKUP(Transactions[[#This Row],[Sub-category]],TblDV45[#All],2)</f>
        <v>Dining Out</v>
      </c>
      <c r="I33" s="34" t="str">
        <f>VLOOKUP(Transactions[[#This Row],[Sub-category]],TblDV45[#All],3)</f>
        <v>Expense</v>
      </c>
    </row>
    <row r="34" spans="1:9" x14ac:dyDescent="0.3">
      <c r="A34" s="29" t="s">
        <v>59</v>
      </c>
      <c r="B34" s="33">
        <v>44948</v>
      </c>
      <c r="C34" s="29" t="s">
        <v>17</v>
      </c>
      <c r="D34" s="29">
        <v>170</v>
      </c>
      <c r="F34" s="34">
        <f t="shared" si="0"/>
        <v>-170</v>
      </c>
      <c r="G34" s="34" t="s">
        <v>18</v>
      </c>
      <c r="H34" s="34" t="str">
        <f>VLOOKUP(Transactions[[#This Row],[Sub-category]],TblDV45[#All],2)</f>
        <v>Living Expenses</v>
      </c>
      <c r="I34" s="34" t="str">
        <f>VLOOKUP(Transactions[[#This Row],[Sub-category]],TblDV45[#All],3)</f>
        <v>Expense</v>
      </c>
    </row>
    <row r="35" spans="1:9" x14ac:dyDescent="0.3">
      <c r="A35" s="29" t="s">
        <v>59</v>
      </c>
      <c r="B35" s="33">
        <v>44949</v>
      </c>
      <c r="C35" s="29" t="s">
        <v>60</v>
      </c>
      <c r="D35" s="29">
        <v>599</v>
      </c>
      <c r="F35" s="34">
        <f t="shared" si="0"/>
        <v>-599</v>
      </c>
      <c r="G35" s="34" t="s">
        <v>26</v>
      </c>
      <c r="H35" s="34" t="str">
        <f>VLOOKUP(Transactions[[#This Row],[Sub-category]],TblDV45[#All],2)</f>
        <v>Dining Out</v>
      </c>
      <c r="I35" s="34" t="str">
        <f>VLOOKUP(Transactions[[#This Row],[Sub-category]],TblDV45[#All],3)</f>
        <v>Expense</v>
      </c>
    </row>
    <row r="36" spans="1:9" x14ac:dyDescent="0.3">
      <c r="A36" s="29" t="s">
        <v>59</v>
      </c>
      <c r="B36" s="33">
        <v>44950</v>
      </c>
      <c r="C36" s="29" t="s">
        <v>36</v>
      </c>
      <c r="D36" s="29">
        <v>12</v>
      </c>
      <c r="F36" s="34">
        <f t="shared" si="0"/>
        <v>-12</v>
      </c>
      <c r="G36" s="34" t="s">
        <v>26</v>
      </c>
      <c r="H36" s="34" t="str">
        <f>VLOOKUP(Transactions[[#This Row],[Sub-category]],TblDV45[#All],2)</f>
        <v>Dining Out</v>
      </c>
      <c r="I36" s="34" t="str">
        <f>VLOOKUP(Transactions[[#This Row],[Sub-category]],TblDV45[#All],3)</f>
        <v>Expense</v>
      </c>
    </row>
    <row r="37" spans="1:9" x14ac:dyDescent="0.3">
      <c r="A37" s="29" t="s">
        <v>58</v>
      </c>
      <c r="B37" s="33">
        <v>44951</v>
      </c>
      <c r="C37" s="29" t="s">
        <v>37</v>
      </c>
      <c r="D37" s="29">
        <v>551</v>
      </c>
      <c r="F37" s="34">
        <f t="shared" si="0"/>
        <v>-551</v>
      </c>
      <c r="G37" s="34" t="s">
        <v>38</v>
      </c>
      <c r="H37" s="34" t="str">
        <f>VLOOKUP(Transactions[[#This Row],[Sub-category]],TblDV45[#All],2)</f>
        <v>Charity</v>
      </c>
      <c r="I37" s="34" t="str">
        <f>VLOOKUP(Transactions[[#This Row],[Sub-category]],TblDV45[#All],3)</f>
        <v>Expense</v>
      </c>
    </row>
    <row r="38" spans="1:9" x14ac:dyDescent="0.3">
      <c r="A38" s="29" t="s">
        <v>59</v>
      </c>
      <c r="B38" s="33">
        <v>44951</v>
      </c>
      <c r="C38" s="29" t="s">
        <v>21</v>
      </c>
      <c r="D38" s="29">
        <v>300</v>
      </c>
      <c r="F38" s="34">
        <f t="shared" si="0"/>
        <v>-300</v>
      </c>
      <c r="G38" s="34" t="s">
        <v>22</v>
      </c>
      <c r="H38" s="34" t="str">
        <f>VLOOKUP(Transactions[[#This Row],[Sub-category]],TblDV45[#All],2)</f>
        <v>Transport</v>
      </c>
      <c r="I38" s="34" t="str">
        <f>VLOOKUP(Transactions[[#This Row],[Sub-category]],TblDV45[#All],3)</f>
        <v>Expense</v>
      </c>
    </row>
    <row r="39" spans="1:9" x14ac:dyDescent="0.3">
      <c r="A39" s="29" t="s">
        <v>59</v>
      </c>
      <c r="B39" s="33">
        <v>44951</v>
      </c>
      <c r="C39" s="29" t="s">
        <v>11</v>
      </c>
      <c r="D39" s="29">
        <v>50</v>
      </c>
      <c r="F39" s="34">
        <f t="shared" si="0"/>
        <v>-50</v>
      </c>
      <c r="G39" s="34" t="s">
        <v>12</v>
      </c>
      <c r="H39" s="34" t="str">
        <f>VLOOKUP(Transactions[[#This Row],[Sub-category]],TblDV45[#All],2)</f>
        <v>Dining Out</v>
      </c>
      <c r="I39" s="34" t="str">
        <f>VLOOKUP(Transactions[[#This Row],[Sub-category]],TblDV45[#All],3)</f>
        <v>Expense</v>
      </c>
    </row>
    <row r="40" spans="1:9" x14ac:dyDescent="0.3">
      <c r="A40" s="29" t="s">
        <v>59</v>
      </c>
      <c r="B40" s="33">
        <v>44952</v>
      </c>
      <c r="C40" s="29" t="s">
        <v>11</v>
      </c>
      <c r="D40" s="29">
        <v>50</v>
      </c>
      <c r="F40" s="34">
        <f t="shared" si="0"/>
        <v>-50</v>
      </c>
      <c r="G40" s="34" t="s">
        <v>12</v>
      </c>
      <c r="H40" s="34" t="str">
        <f>VLOOKUP(Transactions[[#This Row],[Sub-category]],TblDV45[#All],2)</f>
        <v>Dining Out</v>
      </c>
      <c r="I40" s="34" t="str">
        <f>VLOOKUP(Transactions[[#This Row],[Sub-category]],TblDV45[#All],3)</f>
        <v>Expense</v>
      </c>
    </row>
    <row r="41" spans="1:9" x14ac:dyDescent="0.3">
      <c r="A41" s="29" t="s">
        <v>59</v>
      </c>
      <c r="B41" s="33">
        <v>44953</v>
      </c>
      <c r="C41" s="29" t="s">
        <v>11</v>
      </c>
      <c r="D41" s="29">
        <v>50</v>
      </c>
      <c r="F41" s="34">
        <f t="shared" si="0"/>
        <v>-50</v>
      </c>
      <c r="G41" s="34" t="s">
        <v>12</v>
      </c>
      <c r="H41" s="34" t="str">
        <f>VLOOKUP(Transactions[[#This Row],[Sub-category]],TblDV45[#All],2)</f>
        <v>Dining Out</v>
      </c>
      <c r="I41" s="34" t="str">
        <f>VLOOKUP(Transactions[[#This Row],[Sub-category]],TblDV45[#All],3)</f>
        <v>Expense</v>
      </c>
    </row>
    <row r="42" spans="1:9" x14ac:dyDescent="0.3">
      <c r="A42" s="29" t="s">
        <v>59</v>
      </c>
      <c r="B42" s="33">
        <v>44954</v>
      </c>
      <c r="C42" s="29" t="s">
        <v>11</v>
      </c>
      <c r="D42" s="29">
        <v>50</v>
      </c>
      <c r="F42" s="34">
        <f t="shared" si="0"/>
        <v>-50</v>
      </c>
      <c r="G42" s="34" t="s">
        <v>12</v>
      </c>
      <c r="H42" s="34" t="str">
        <f>VLOOKUP(Transactions[[#This Row],[Sub-category]],TblDV45[#All],2)</f>
        <v>Dining Out</v>
      </c>
      <c r="I42" s="34" t="str">
        <f>VLOOKUP(Transactions[[#This Row],[Sub-category]],TblDV45[#All],3)</f>
        <v>Expense</v>
      </c>
    </row>
    <row r="43" spans="1:9" x14ac:dyDescent="0.3">
      <c r="A43" s="29" t="s">
        <v>59</v>
      </c>
      <c r="B43" s="33">
        <v>44955</v>
      </c>
      <c r="C43" s="29" t="s">
        <v>11</v>
      </c>
      <c r="D43" s="29">
        <v>50</v>
      </c>
      <c r="F43" s="34">
        <f t="shared" si="0"/>
        <v>-50</v>
      </c>
      <c r="G43" s="34" t="s">
        <v>12</v>
      </c>
      <c r="H43" s="34" t="str">
        <f>VLOOKUP(Transactions[[#This Row],[Sub-category]],TblDV45[#All],2)</f>
        <v>Dining Out</v>
      </c>
      <c r="I43" s="34" t="str">
        <f>VLOOKUP(Transactions[[#This Row],[Sub-category]],TblDV45[#All],3)</f>
        <v>Expense</v>
      </c>
    </row>
    <row r="44" spans="1:9" x14ac:dyDescent="0.3">
      <c r="A44" s="29" t="s">
        <v>59</v>
      </c>
      <c r="B44" s="33">
        <v>44955</v>
      </c>
      <c r="C44" s="29" t="s">
        <v>17</v>
      </c>
      <c r="D44" s="29">
        <v>162</v>
      </c>
      <c r="F44" s="34">
        <f t="shared" si="0"/>
        <v>-162</v>
      </c>
      <c r="G44" s="34" t="s">
        <v>18</v>
      </c>
      <c r="H44" s="34" t="str">
        <f>VLOOKUP(Transactions[[#This Row],[Sub-category]],TblDV45[#All],2)</f>
        <v>Living Expenses</v>
      </c>
      <c r="I44" s="34" t="str">
        <f>VLOOKUP(Transactions[[#This Row],[Sub-category]],TblDV45[#All],3)</f>
        <v>Expense</v>
      </c>
    </row>
    <row r="45" spans="1:9" x14ac:dyDescent="0.3">
      <c r="A45" s="29" t="s">
        <v>59</v>
      </c>
      <c r="B45" s="33">
        <v>44956</v>
      </c>
      <c r="C45" s="29" t="s">
        <v>39</v>
      </c>
      <c r="D45" s="29">
        <v>1750</v>
      </c>
      <c r="F45" s="34">
        <f t="shared" si="0"/>
        <v>-1750</v>
      </c>
      <c r="G45" s="34" t="s">
        <v>24</v>
      </c>
      <c r="H45" s="34" t="str">
        <f>VLOOKUP(Transactions[[#This Row],[Sub-category]],TblDV45[#All],2)</f>
        <v>Discretionary</v>
      </c>
      <c r="I45" s="34" t="str">
        <f>VLOOKUP(Transactions[[#This Row],[Sub-category]],TblDV45[#All],3)</f>
        <v>Expense</v>
      </c>
    </row>
    <row r="46" spans="1:9" x14ac:dyDescent="0.3">
      <c r="A46" s="29" t="s">
        <v>59</v>
      </c>
      <c r="B46" s="33">
        <v>44957</v>
      </c>
      <c r="C46" s="29" t="s">
        <v>46</v>
      </c>
      <c r="D46" s="29">
        <v>145</v>
      </c>
      <c r="F46" s="34">
        <f t="shared" si="0"/>
        <v>-145</v>
      </c>
      <c r="G46" s="34" t="s">
        <v>25</v>
      </c>
      <c r="H46" s="34" t="str">
        <f>VLOOKUP(Transactions[[#This Row],[Sub-category]],TblDV45[#All],2)</f>
        <v>Discretionary</v>
      </c>
      <c r="I46" s="34" t="str">
        <f>VLOOKUP(Transactions[[#This Row],[Sub-category]],TblDV45[#All],3)</f>
        <v>Expense</v>
      </c>
    </row>
    <row r="47" spans="1:9" x14ac:dyDescent="0.3">
      <c r="A47" s="29" t="s">
        <v>59</v>
      </c>
      <c r="B47" s="33">
        <v>44957</v>
      </c>
      <c r="C47" s="29" t="s">
        <v>27</v>
      </c>
      <c r="D47" s="29">
        <v>120</v>
      </c>
      <c r="F47" s="34">
        <f t="shared" si="0"/>
        <v>-120</v>
      </c>
      <c r="G47" s="34" t="s">
        <v>28</v>
      </c>
      <c r="H47" s="34" t="str">
        <f>VLOOKUP(Transactions[[#This Row],[Sub-category]],TblDV45[#All],2)</f>
        <v>Transport</v>
      </c>
      <c r="I47" s="34" t="str">
        <f>VLOOKUP(Transactions[[#This Row],[Sub-category]],TblDV45[#All],3)</f>
        <v>Expense</v>
      </c>
    </row>
    <row r="48" spans="1:9" x14ac:dyDescent="0.3">
      <c r="A48" s="29" t="s">
        <v>58</v>
      </c>
      <c r="B48" s="33">
        <v>44958</v>
      </c>
      <c r="C48" s="29" t="s">
        <v>9</v>
      </c>
      <c r="E48" s="29">
        <v>30000</v>
      </c>
      <c r="F48" s="34">
        <f t="shared" si="0"/>
        <v>30000</v>
      </c>
      <c r="G48" s="34" t="s">
        <v>10</v>
      </c>
      <c r="H48" s="34" t="str">
        <f>VLOOKUP(Transactions[[#This Row],[Sub-category]],TblDV45[#All],2)</f>
        <v>Salary</v>
      </c>
      <c r="I48" s="34" t="str">
        <f>VLOOKUP(Transactions[[#This Row],[Sub-category]],TblDV45[#All],3)</f>
        <v>Income</v>
      </c>
    </row>
    <row r="49" spans="1:9" x14ac:dyDescent="0.3">
      <c r="A49" s="29" t="s">
        <v>59</v>
      </c>
      <c r="B49" s="33">
        <v>44958</v>
      </c>
      <c r="C49" s="29" t="s">
        <v>11</v>
      </c>
      <c r="D49" s="29">
        <v>50</v>
      </c>
      <c r="F49" s="34">
        <f t="shared" si="0"/>
        <v>-50</v>
      </c>
      <c r="G49" s="34" t="s">
        <v>12</v>
      </c>
      <c r="H49" s="34" t="str">
        <f>VLOOKUP(Transactions[[#This Row],[Sub-category]],TblDV45[#All],2)</f>
        <v>Dining Out</v>
      </c>
      <c r="I49" s="34" t="str">
        <f>VLOOKUP(Transactions[[#This Row],[Sub-category]],TblDV45[#All],3)</f>
        <v>Expense</v>
      </c>
    </row>
    <row r="50" spans="1:9" x14ac:dyDescent="0.3">
      <c r="A50" s="29" t="s">
        <v>58</v>
      </c>
      <c r="B50" s="33">
        <v>44959</v>
      </c>
      <c r="C50" s="29" t="s">
        <v>13</v>
      </c>
      <c r="D50" s="29">
        <v>6000</v>
      </c>
      <c r="F50" s="34">
        <f t="shared" si="0"/>
        <v>-6000</v>
      </c>
      <c r="G50" s="34" t="s">
        <v>14</v>
      </c>
      <c r="H50" s="34" t="str">
        <f>VLOOKUP(Transactions[[#This Row],[Sub-category]],TblDV45[#All],2)</f>
        <v>Living Expenses</v>
      </c>
      <c r="I50" s="34" t="str">
        <f>VLOOKUP(Transactions[[#This Row],[Sub-category]],TblDV45[#All],3)</f>
        <v>Expense</v>
      </c>
    </row>
    <row r="51" spans="1:9" x14ac:dyDescent="0.3">
      <c r="A51" s="29" t="s">
        <v>58</v>
      </c>
      <c r="B51" s="33">
        <v>44959</v>
      </c>
      <c r="C51" s="29" t="s">
        <v>15</v>
      </c>
      <c r="D51" s="29">
        <v>2500</v>
      </c>
      <c r="F51" s="34">
        <f t="shared" si="0"/>
        <v>-2500</v>
      </c>
      <c r="G51" s="34" t="s">
        <v>16</v>
      </c>
      <c r="H51" s="34" t="str">
        <f>VLOOKUP(Transactions[[#This Row],[Sub-category]],TblDV45[#All],2)</f>
        <v>Transport</v>
      </c>
      <c r="I51" s="34" t="str">
        <f>VLOOKUP(Transactions[[#This Row],[Sub-category]],TblDV45[#All],3)</f>
        <v>Expense</v>
      </c>
    </row>
    <row r="52" spans="1:9" x14ac:dyDescent="0.3">
      <c r="A52" s="29" t="s">
        <v>59</v>
      </c>
      <c r="B52" s="33">
        <v>44959</v>
      </c>
      <c r="C52" s="29" t="s">
        <v>11</v>
      </c>
      <c r="D52" s="29">
        <v>50</v>
      </c>
      <c r="F52" s="34">
        <f t="shared" si="0"/>
        <v>-50</v>
      </c>
      <c r="G52" s="34" t="s">
        <v>12</v>
      </c>
      <c r="H52" s="34" t="str">
        <f>VLOOKUP(Transactions[[#This Row],[Sub-category]],TblDV45[#All],2)</f>
        <v>Dining Out</v>
      </c>
      <c r="I52" s="34" t="str">
        <f>VLOOKUP(Transactions[[#This Row],[Sub-category]],TblDV45[#All],3)</f>
        <v>Expense</v>
      </c>
    </row>
    <row r="53" spans="1:9" x14ac:dyDescent="0.3">
      <c r="A53" s="29" t="s">
        <v>59</v>
      </c>
      <c r="B53" s="33">
        <v>44960</v>
      </c>
      <c r="C53" s="29" t="s">
        <v>11</v>
      </c>
      <c r="D53" s="29">
        <v>50</v>
      </c>
      <c r="F53" s="34">
        <f t="shared" si="0"/>
        <v>-50</v>
      </c>
      <c r="G53" s="34" t="s">
        <v>12</v>
      </c>
      <c r="H53" s="34" t="str">
        <f>VLOOKUP(Transactions[[#This Row],[Sub-category]],TblDV45[#All],2)</f>
        <v>Dining Out</v>
      </c>
      <c r="I53" s="34" t="str">
        <f>VLOOKUP(Transactions[[#This Row],[Sub-category]],TblDV45[#All],3)</f>
        <v>Expense</v>
      </c>
    </row>
    <row r="54" spans="1:9" x14ac:dyDescent="0.3">
      <c r="A54" s="29" t="s">
        <v>59</v>
      </c>
      <c r="B54" s="33">
        <v>44961</v>
      </c>
      <c r="C54" s="29" t="s">
        <v>11</v>
      </c>
      <c r="D54" s="29">
        <v>50</v>
      </c>
      <c r="F54" s="34">
        <f t="shared" si="0"/>
        <v>-50</v>
      </c>
      <c r="G54" s="34" t="s">
        <v>12</v>
      </c>
      <c r="H54" s="34" t="str">
        <f>VLOOKUP(Transactions[[#This Row],[Sub-category]],TblDV45[#All],2)</f>
        <v>Dining Out</v>
      </c>
      <c r="I54" s="34" t="str">
        <f>VLOOKUP(Transactions[[#This Row],[Sub-category]],TblDV45[#All],3)</f>
        <v>Expense</v>
      </c>
    </row>
    <row r="55" spans="1:9" x14ac:dyDescent="0.3">
      <c r="A55" s="29" t="s">
        <v>59</v>
      </c>
      <c r="B55" s="33">
        <v>44962</v>
      </c>
      <c r="C55" s="29" t="s">
        <v>11</v>
      </c>
      <c r="D55" s="29">
        <v>50</v>
      </c>
      <c r="F55" s="34">
        <f t="shared" si="0"/>
        <v>-50</v>
      </c>
      <c r="G55" s="34" t="s">
        <v>12</v>
      </c>
      <c r="H55" s="34" t="str">
        <f>VLOOKUP(Transactions[[#This Row],[Sub-category]],TblDV45[#All],2)</f>
        <v>Dining Out</v>
      </c>
      <c r="I55" s="34" t="str">
        <f>VLOOKUP(Transactions[[#This Row],[Sub-category]],TblDV45[#All],3)</f>
        <v>Expense</v>
      </c>
    </row>
    <row r="56" spans="1:9" x14ac:dyDescent="0.3">
      <c r="A56" s="29" t="s">
        <v>59</v>
      </c>
      <c r="B56" s="33">
        <v>44962</v>
      </c>
      <c r="C56" s="29" t="s">
        <v>17</v>
      </c>
      <c r="D56" s="29">
        <v>205</v>
      </c>
      <c r="F56" s="34">
        <f t="shared" si="0"/>
        <v>-205</v>
      </c>
      <c r="G56" s="34" t="s">
        <v>18</v>
      </c>
      <c r="H56" s="34" t="str">
        <f>VLOOKUP(Transactions[[#This Row],[Sub-category]],TblDV45[#All],2)</f>
        <v>Living Expenses</v>
      </c>
      <c r="I56" s="34" t="str">
        <f>VLOOKUP(Transactions[[#This Row],[Sub-category]],TblDV45[#All],3)</f>
        <v>Expense</v>
      </c>
    </row>
    <row r="57" spans="1:9" x14ac:dyDescent="0.3">
      <c r="A57" s="29" t="s">
        <v>58</v>
      </c>
      <c r="B57" s="33">
        <v>44965</v>
      </c>
      <c r="C57" s="29" t="s">
        <v>19</v>
      </c>
      <c r="D57" s="29">
        <v>950</v>
      </c>
      <c r="F57" s="34">
        <f t="shared" si="0"/>
        <v>-950</v>
      </c>
      <c r="G57" s="34" t="s">
        <v>20</v>
      </c>
      <c r="H57" s="34" t="str">
        <f>VLOOKUP(Transactions[[#This Row],[Sub-category]],TblDV45[#All],2)</f>
        <v>Living Expenses</v>
      </c>
      <c r="I57" s="34" t="str">
        <f>VLOOKUP(Transactions[[#This Row],[Sub-category]],TblDV45[#All],3)</f>
        <v>Expense</v>
      </c>
    </row>
    <row r="58" spans="1:9" x14ac:dyDescent="0.3">
      <c r="A58" s="29" t="s">
        <v>59</v>
      </c>
      <c r="B58" s="33">
        <v>44965</v>
      </c>
      <c r="C58" s="29" t="s">
        <v>11</v>
      </c>
      <c r="D58" s="29">
        <v>50</v>
      </c>
      <c r="F58" s="34">
        <f t="shared" si="0"/>
        <v>-50</v>
      </c>
      <c r="G58" s="34" t="s">
        <v>12</v>
      </c>
      <c r="H58" s="34" t="str">
        <f>VLOOKUP(Transactions[[#This Row],[Sub-category]],TblDV45[#All],2)</f>
        <v>Dining Out</v>
      </c>
      <c r="I58" s="34" t="str">
        <f>VLOOKUP(Transactions[[#This Row],[Sub-category]],TblDV45[#All],3)</f>
        <v>Expense</v>
      </c>
    </row>
    <row r="59" spans="1:9" x14ac:dyDescent="0.3">
      <c r="A59" s="29" t="s">
        <v>59</v>
      </c>
      <c r="B59" s="33">
        <v>44966</v>
      </c>
      <c r="C59" s="29" t="s">
        <v>11</v>
      </c>
      <c r="D59" s="29">
        <v>50</v>
      </c>
      <c r="F59" s="34">
        <f t="shared" si="0"/>
        <v>-50</v>
      </c>
      <c r="G59" s="34" t="s">
        <v>12</v>
      </c>
      <c r="H59" s="34" t="str">
        <f>VLOOKUP(Transactions[[#This Row],[Sub-category]],TblDV45[#All],2)</f>
        <v>Dining Out</v>
      </c>
      <c r="I59" s="34" t="str">
        <f>VLOOKUP(Transactions[[#This Row],[Sub-category]],TblDV45[#All],3)</f>
        <v>Expense</v>
      </c>
    </row>
    <row r="60" spans="1:9" x14ac:dyDescent="0.3">
      <c r="A60" s="29" t="s">
        <v>59</v>
      </c>
      <c r="B60" s="33">
        <v>44967</v>
      </c>
      <c r="C60" s="29" t="s">
        <v>21</v>
      </c>
      <c r="D60" s="29">
        <v>300</v>
      </c>
      <c r="F60" s="34">
        <f t="shared" si="0"/>
        <v>-300</v>
      </c>
      <c r="G60" s="34" t="s">
        <v>22</v>
      </c>
      <c r="H60" s="34" t="str">
        <f>VLOOKUP(Transactions[[#This Row],[Sub-category]],TblDV45[#All],2)</f>
        <v>Transport</v>
      </c>
      <c r="I60" s="34" t="str">
        <f>VLOOKUP(Transactions[[#This Row],[Sub-category]],TblDV45[#All],3)</f>
        <v>Expense</v>
      </c>
    </row>
    <row r="61" spans="1:9" x14ac:dyDescent="0.3">
      <c r="A61" s="29" t="s">
        <v>59</v>
      </c>
      <c r="B61" s="33">
        <v>44967</v>
      </c>
      <c r="C61" s="29" t="s">
        <v>11</v>
      </c>
      <c r="D61" s="29">
        <v>50</v>
      </c>
      <c r="F61" s="34">
        <f t="shared" si="0"/>
        <v>-50</v>
      </c>
      <c r="G61" s="34" t="s">
        <v>12</v>
      </c>
      <c r="H61" s="34" t="str">
        <f>VLOOKUP(Transactions[[#This Row],[Sub-category]],TblDV45[#All],2)</f>
        <v>Dining Out</v>
      </c>
      <c r="I61" s="34" t="str">
        <f>VLOOKUP(Transactions[[#This Row],[Sub-category]],TblDV45[#All],3)</f>
        <v>Expense</v>
      </c>
    </row>
    <row r="62" spans="1:9" x14ac:dyDescent="0.3">
      <c r="A62" s="29" t="s">
        <v>59</v>
      </c>
      <c r="B62" s="33">
        <v>44968</v>
      </c>
      <c r="C62" s="29" t="s">
        <v>11</v>
      </c>
      <c r="D62" s="29">
        <v>50</v>
      </c>
      <c r="F62" s="34">
        <f t="shared" si="0"/>
        <v>-50</v>
      </c>
      <c r="G62" s="34" t="s">
        <v>12</v>
      </c>
      <c r="H62" s="34" t="str">
        <f>VLOOKUP(Transactions[[#This Row],[Sub-category]],TblDV45[#All],2)</f>
        <v>Dining Out</v>
      </c>
      <c r="I62" s="34" t="str">
        <f>VLOOKUP(Transactions[[#This Row],[Sub-category]],TblDV45[#All],3)</f>
        <v>Expense</v>
      </c>
    </row>
    <row r="63" spans="1:9" x14ac:dyDescent="0.3">
      <c r="A63" s="29" t="s">
        <v>59</v>
      </c>
      <c r="B63" s="33">
        <v>44969</v>
      </c>
      <c r="C63" s="29" t="s">
        <v>17</v>
      </c>
      <c r="D63" s="29">
        <v>135.9</v>
      </c>
      <c r="F63" s="34">
        <f t="shared" si="0"/>
        <v>-135.9</v>
      </c>
      <c r="G63" s="34" t="s">
        <v>18</v>
      </c>
      <c r="H63" s="34" t="str">
        <f>VLOOKUP(Transactions[[#This Row],[Sub-category]],TblDV45[#All],2)</f>
        <v>Living Expenses</v>
      </c>
      <c r="I63" s="34" t="str">
        <f>VLOOKUP(Transactions[[#This Row],[Sub-category]],TblDV45[#All],3)</f>
        <v>Expense</v>
      </c>
    </row>
    <row r="64" spans="1:9" x14ac:dyDescent="0.3">
      <c r="A64" s="29" t="s">
        <v>59</v>
      </c>
      <c r="B64" s="33">
        <v>44969</v>
      </c>
      <c r="C64" s="29" t="s">
        <v>11</v>
      </c>
      <c r="D64" s="29">
        <v>50</v>
      </c>
      <c r="F64" s="34">
        <f t="shared" si="0"/>
        <v>-50</v>
      </c>
      <c r="G64" s="34" t="s">
        <v>12</v>
      </c>
      <c r="H64" s="34" t="str">
        <f>VLOOKUP(Transactions[[#This Row],[Sub-category]],TblDV45[#All],2)</f>
        <v>Dining Out</v>
      </c>
      <c r="I64" s="34" t="str">
        <f>VLOOKUP(Transactions[[#This Row],[Sub-category]],TblDV45[#All],3)</f>
        <v>Expense</v>
      </c>
    </row>
    <row r="65" spans="1:9" x14ac:dyDescent="0.3">
      <c r="A65" s="29" t="s">
        <v>59</v>
      </c>
      <c r="B65" s="33">
        <v>44970</v>
      </c>
      <c r="C65" s="29" t="s">
        <v>11</v>
      </c>
      <c r="D65" s="29">
        <v>50</v>
      </c>
      <c r="F65" s="34">
        <f t="shared" ref="F65:F127" si="1">E65-D65</f>
        <v>-50</v>
      </c>
      <c r="G65" s="34" t="s">
        <v>12</v>
      </c>
      <c r="H65" s="34" t="str">
        <f>VLOOKUP(Transactions[[#This Row],[Sub-category]],TblDV45[#All],2)</f>
        <v>Dining Out</v>
      </c>
      <c r="I65" s="34" t="str">
        <f>VLOOKUP(Transactions[[#This Row],[Sub-category]],TblDV45[#All],3)</f>
        <v>Expense</v>
      </c>
    </row>
    <row r="66" spans="1:9" x14ac:dyDescent="0.3">
      <c r="A66" s="29" t="s">
        <v>59</v>
      </c>
      <c r="B66" s="33">
        <v>44970</v>
      </c>
      <c r="C66" s="29" t="s">
        <v>23</v>
      </c>
      <c r="D66" s="29">
        <v>140</v>
      </c>
      <c r="F66" s="34">
        <f t="shared" si="1"/>
        <v>-140</v>
      </c>
      <c r="G66" s="34" t="s">
        <v>24</v>
      </c>
      <c r="H66" s="34" t="str">
        <f>VLOOKUP(Transactions[[#This Row],[Sub-category]],TblDV45[#All],2)</f>
        <v>Discretionary</v>
      </c>
      <c r="I66" s="34" t="str">
        <f>VLOOKUP(Transactions[[#This Row],[Sub-category]],TblDV45[#All],3)</f>
        <v>Expense</v>
      </c>
    </row>
    <row r="67" spans="1:9" x14ac:dyDescent="0.3">
      <c r="A67" s="29" t="s">
        <v>59</v>
      </c>
      <c r="B67" s="33">
        <v>44970</v>
      </c>
      <c r="C67" s="29" t="s">
        <v>46</v>
      </c>
      <c r="D67" s="29">
        <v>899</v>
      </c>
      <c r="F67" s="34">
        <f t="shared" si="1"/>
        <v>-899</v>
      </c>
      <c r="G67" s="34" t="s">
        <v>25</v>
      </c>
      <c r="H67" s="34" t="str">
        <f>VLOOKUP(Transactions[[#This Row],[Sub-category]],TblDV45[#All],2)</f>
        <v>Discretionary</v>
      </c>
      <c r="I67" s="34" t="str">
        <f>VLOOKUP(Transactions[[#This Row],[Sub-category]],TblDV45[#All],3)</f>
        <v>Expense</v>
      </c>
    </row>
    <row r="68" spans="1:9" x14ac:dyDescent="0.3">
      <c r="A68" s="29" t="s">
        <v>59</v>
      </c>
      <c r="B68" s="33">
        <v>44970</v>
      </c>
      <c r="C68" s="29" t="s">
        <v>48</v>
      </c>
      <c r="D68" s="29">
        <v>200</v>
      </c>
      <c r="F68" s="34">
        <f t="shared" si="1"/>
        <v>-200</v>
      </c>
      <c r="G68" s="34" t="s">
        <v>26</v>
      </c>
      <c r="H68" s="34" t="str">
        <f>VLOOKUP(Transactions[[#This Row],[Sub-category]],TblDV45[#All],2)</f>
        <v>Dining Out</v>
      </c>
      <c r="I68" s="34" t="str">
        <f>VLOOKUP(Transactions[[#This Row],[Sub-category]],TblDV45[#All],3)</f>
        <v>Expense</v>
      </c>
    </row>
    <row r="69" spans="1:9" x14ac:dyDescent="0.3">
      <c r="A69" s="29" t="s">
        <v>59</v>
      </c>
      <c r="B69" s="33">
        <v>44971</v>
      </c>
      <c r="C69" s="29" t="s">
        <v>27</v>
      </c>
      <c r="D69" s="29">
        <v>90</v>
      </c>
      <c r="F69" s="34">
        <f t="shared" si="1"/>
        <v>-90</v>
      </c>
      <c r="G69" s="34" t="s">
        <v>28</v>
      </c>
      <c r="H69" s="34" t="str">
        <f>VLOOKUP(Transactions[[#This Row],[Sub-category]],TblDV45[#All],2)</f>
        <v>Transport</v>
      </c>
      <c r="I69" s="34" t="str">
        <f>VLOOKUP(Transactions[[#This Row],[Sub-category]],TblDV45[#All],3)</f>
        <v>Expense</v>
      </c>
    </row>
    <row r="70" spans="1:9" x14ac:dyDescent="0.3">
      <c r="A70" s="29" t="s">
        <v>58</v>
      </c>
      <c r="B70" s="33">
        <v>44972</v>
      </c>
      <c r="C70" s="29" t="s">
        <v>29</v>
      </c>
      <c r="D70" s="29">
        <v>300</v>
      </c>
      <c r="F70" s="34">
        <f t="shared" si="1"/>
        <v>-300</v>
      </c>
      <c r="G70" s="34" t="s">
        <v>30</v>
      </c>
      <c r="H70" s="34" t="str">
        <f>VLOOKUP(Transactions[[#This Row],[Sub-category]],TblDV45[#All],2)</f>
        <v>Discretionary</v>
      </c>
      <c r="I70" s="34" t="str">
        <f>VLOOKUP(Transactions[[#This Row],[Sub-category]],TblDV45[#All],3)</f>
        <v>Expense</v>
      </c>
    </row>
    <row r="71" spans="1:9" x14ac:dyDescent="0.3">
      <c r="A71" s="29" t="s">
        <v>59</v>
      </c>
      <c r="B71" s="33">
        <v>44972</v>
      </c>
      <c r="C71" s="29" t="s">
        <v>11</v>
      </c>
      <c r="D71" s="29">
        <v>50</v>
      </c>
      <c r="F71" s="34">
        <f t="shared" si="1"/>
        <v>-50</v>
      </c>
      <c r="G71" s="34" t="s">
        <v>12</v>
      </c>
      <c r="H71" s="34" t="str">
        <f>VLOOKUP(Transactions[[#This Row],[Sub-category]],TblDV45[#All],2)</f>
        <v>Dining Out</v>
      </c>
      <c r="I71" s="34" t="str">
        <f>VLOOKUP(Transactions[[#This Row],[Sub-category]],TblDV45[#All],3)</f>
        <v>Expense</v>
      </c>
    </row>
    <row r="72" spans="1:9" x14ac:dyDescent="0.3">
      <c r="A72" s="29" t="s">
        <v>59</v>
      </c>
      <c r="B72" s="33">
        <v>44973</v>
      </c>
      <c r="C72" s="29" t="s">
        <v>11</v>
      </c>
      <c r="D72" s="29">
        <v>50</v>
      </c>
      <c r="F72" s="34">
        <f t="shared" si="1"/>
        <v>-50</v>
      </c>
      <c r="G72" s="34" t="s">
        <v>12</v>
      </c>
      <c r="H72" s="34" t="str">
        <f>VLOOKUP(Transactions[[#This Row],[Sub-category]],TblDV45[#All],2)</f>
        <v>Dining Out</v>
      </c>
      <c r="I72" s="34" t="str">
        <f>VLOOKUP(Transactions[[#This Row],[Sub-category]],TblDV45[#All],3)</f>
        <v>Expense</v>
      </c>
    </row>
    <row r="73" spans="1:9" x14ac:dyDescent="0.3">
      <c r="A73" s="29" t="s">
        <v>58</v>
      </c>
      <c r="B73" s="33">
        <v>44973</v>
      </c>
      <c r="C73" s="29" t="s">
        <v>47</v>
      </c>
      <c r="D73" s="29">
        <v>699</v>
      </c>
      <c r="F73" s="34">
        <f t="shared" si="1"/>
        <v>-699</v>
      </c>
      <c r="G73" s="34" t="s">
        <v>33</v>
      </c>
      <c r="H73" s="34" t="str">
        <f>VLOOKUP(Transactions[[#This Row],[Sub-category]],TblDV45[#All],2)</f>
        <v>Living Expenses</v>
      </c>
      <c r="I73" s="34" t="str">
        <f>VLOOKUP(Transactions[[#This Row],[Sub-category]],TblDV45[#All],3)</f>
        <v>Expense</v>
      </c>
    </row>
    <row r="74" spans="1:9" x14ac:dyDescent="0.3">
      <c r="A74" s="29" t="s">
        <v>59</v>
      </c>
      <c r="B74" s="33">
        <v>44974</v>
      </c>
      <c r="C74" s="29" t="s">
        <v>34</v>
      </c>
      <c r="D74" s="29">
        <v>500</v>
      </c>
      <c r="F74" s="34">
        <f t="shared" si="1"/>
        <v>-500</v>
      </c>
      <c r="G74" s="34" t="s">
        <v>34</v>
      </c>
      <c r="H74" s="34" t="str">
        <f>VLOOKUP(Transactions[[#This Row],[Sub-category]],TblDV45[#All],2)</f>
        <v>Discretionary</v>
      </c>
      <c r="I74" s="34" t="str">
        <f>VLOOKUP(Transactions[[#This Row],[Sub-category]],TblDV45[#All],3)</f>
        <v>Expense</v>
      </c>
    </row>
    <row r="75" spans="1:9" x14ac:dyDescent="0.3">
      <c r="A75" s="29" t="s">
        <v>59</v>
      </c>
      <c r="B75" s="33">
        <v>44974</v>
      </c>
      <c r="C75" s="29" t="s">
        <v>35</v>
      </c>
      <c r="D75" s="29">
        <v>500</v>
      </c>
      <c r="F75" s="34">
        <f t="shared" si="1"/>
        <v>-500</v>
      </c>
      <c r="G75" s="34" t="s">
        <v>24</v>
      </c>
      <c r="H75" s="34" t="str">
        <f>VLOOKUP(Transactions[[#This Row],[Sub-category]],TblDV45[#All],2)</f>
        <v>Discretionary</v>
      </c>
      <c r="I75" s="34" t="str">
        <f>VLOOKUP(Transactions[[#This Row],[Sub-category]],TblDV45[#All],3)</f>
        <v>Expense</v>
      </c>
    </row>
    <row r="76" spans="1:9" x14ac:dyDescent="0.3">
      <c r="A76" s="29" t="s">
        <v>59</v>
      </c>
      <c r="B76" s="33">
        <v>44974</v>
      </c>
      <c r="C76" s="29" t="s">
        <v>11</v>
      </c>
      <c r="D76" s="29">
        <v>50</v>
      </c>
      <c r="F76" s="34">
        <f t="shared" si="1"/>
        <v>-50</v>
      </c>
      <c r="G76" s="34" t="s">
        <v>12</v>
      </c>
      <c r="H76" s="34" t="str">
        <f>VLOOKUP(Transactions[[#This Row],[Sub-category]],TblDV45[#All],2)</f>
        <v>Dining Out</v>
      </c>
      <c r="I76" s="34" t="str">
        <f>VLOOKUP(Transactions[[#This Row],[Sub-category]],TblDV45[#All],3)</f>
        <v>Expense</v>
      </c>
    </row>
    <row r="77" spans="1:9" x14ac:dyDescent="0.3">
      <c r="A77" s="29" t="s">
        <v>59</v>
      </c>
      <c r="B77" s="33">
        <v>44975</v>
      </c>
      <c r="C77" s="29" t="s">
        <v>11</v>
      </c>
      <c r="D77" s="29">
        <v>50</v>
      </c>
      <c r="F77" s="34">
        <f t="shared" si="1"/>
        <v>-50</v>
      </c>
      <c r="G77" s="34" t="s">
        <v>12</v>
      </c>
      <c r="H77" s="34" t="str">
        <f>VLOOKUP(Transactions[[#This Row],[Sub-category]],TblDV45[#All],2)</f>
        <v>Dining Out</v>
      </c>
      <c r="I77" s="34" t="str">
        <f>VLOOKUP(Transactions[[#This Row],[Sub-category]],TblDV45[#All],3)</f>
        <v>Expense</v>
      </c>
    </row>
    <row r="78" spans="1:9" x14ac:dyDescent="0.3">
      <c r="A78" s="29" t="s">
        <v>59</v>
      </c>
      <c r="B78" s="33">
        <v>44976</v>
      </c>
      <c r="C78" s="29" t="s">
        <v>11</v>
      </c>
      <c r="D78" s="29">
        <v>50</v>
      </c>
      <c r="F78" s="34">
        <f t="shared" si="1"/>
        <v>-50</v>
      </c>
      <c r="G78" s="34" t="s">
        <v>12</v>
      </c>
      <c r="H78" s="34" t="str">
        <f>VLOOKUP(Transactions[[#This Row],[Sub-category]],TblDV45[#All],2)</f>
        <v>Dining Out</v>
      </c>
      <c r="I78" s="34" t="str">
        <f>VLOOKUP(Transactions[[#This Row],[Sub-category]],TblDV45[#All],3)</f>
        <v>Expense</v>
      </c>
    </row>
    <row r="79" spans="1:9" x14ac:dyDescent="0.3">
      <c r="A79" s="29" t="s">
        <v>59</v>
      </c>
      <c r="B79" s="33">
        <v>44976</v>
      </c>
      <c r="C79" s="29" t="s">
        <v>17</v>
      </c>
      <c r="D79" s="29">
        <v>171</v>
      </c>
      <c r="F79" s="34">
        <f t="shared" si="1"/>
        <v>-171</v>
      </c>
      <c r="G79" s="34" t="s">
        <v>18</v>
      </c>
      <c r="H79" s="34" t="str">
        <f>VLOOKUP(Transactions[[#This Row],[Sub-category]],TblDV45[#All],2)</f>
        <v>Living Expenses</v>
      </c>
      <c r="I79" s="34" t="str">
        <f>VLOOKUP(Transactions[[#This Row],[Sub-category]],TblDV45[#All],3)</f>
        <v>Expense</v>
      </c>
    </row>
    <row r="80" spans="1:9" x14ac:dyDescent="0.3">
      <c r="A80" s="29" t="s">
        <v>59</v>
      </c>
      <c r="B80" s="33">
        <v>44977</v>
      </c>
      <c r="C80" s="29" t="s">
        <v>60</v>
      </c>
      <c r="D80" s="29">
        <v>599</v>
      </c>
      <c r="F80" s="34">
        <f t="shared" si="1"/>
        <v>-599</v>
      </c>
      <c r="G80" s="34" t="s">
        <v>26</v>
      </c>
      <c r="H80" s="34" t="str">
        <f>VLOOKUP(Transactions[[#This Row],[Sub-category]],TblDV45[#All],2)</f>
        <v>Dining Out</v>
      </c>
      <c r="I80" s="34" t="str">
        <f>VLOOKUP(Transactions[[#This Row],[Sub-category]],TblDV45[#All],3)</f>
        <v>Expense</v>
      </c>
    </row>
    <row r="81" spans="1:9" x14ac:dyDescent="0.3">
      <c r="A81" s="29" t="s">
        <v>59</v>
      </c>
      <c r="B81" s="33">
        <v>44978</v>
      </c>
      <c r="C81" s="29" t="s">
        <v>36</v>
      </c>
      <c r="D81" s="29">
        <v>12.9</v>
      </c>
      <c r="F81" s="34">
        <f t="shared" si="1"/>
        <v>-12.9</v>
      </c>
      <c r="G81" s="34" t="s">
        <v>26</v>
      </c>
      <c r="H81" s="34" t="str">
        <f>VLOOKUP(Transactions[[#This Row],[Sub-category]],TblDV45[#All],2)</f>
        <v>Dining Out</v>
      </c>
      <c r="I81" s="34" t="str">
        <f>VLOOKUP(Transactions[[#This Row],[Sub-category]],TblDV45[#All],3)</f>
        <v>Expense</v>
      </c>
    </row>
    <row r="82" spans="1:9" x14ac:dyDescent="0.3">
      <c r="A82" s="29" t="s">
        <v>58</v>
      </c>
      <c r="B82" s="33">
        <v>44979</v>
      </c>
      <c r="C82" s="29" t="s">
        <v>37</v>
      </c>
      <c r="D82" s="29">
        <v>551</v>
      </c>
      <c r="F82" s="34">
        <f t="shared" si="1"/>
        <v>-551</v>
      </c>
      <c r="G82" s="34" t="s">
        <v>38</v>
      </c>
      <c r="H82" s="34" t="str">
        <f>VLOOKUP(Transactions[[#This Row],[Sub-category]],TblDV45[#All],2)</f>
        <v>Charity</v>
      </c>
      <c r="I82" s="34" t="str">
        <f>VLOOKUP(Transactions[[#This Row],[Sub-category]],TblDV45[#All],3)</f>
        <v>Expense</v>
      </c>
    </row>
    <row r="83" spans="1:9" x14ac:dyDescent="0.3">
      <c r="A83" s="29" t="s">
        <v>59</v>
      </c>
      <c r="B83" s="33">
        <v>44979</v>
      </c>
      <c r="C83" s="29" t="s">
        <v>21</v>
      </c>
      <c r="D83" s="29">
        <v>300</v>
      </c>
      <c r="F83" s="34">
        <f t="shared" si="1"/>
        <v>-300</v>
      </c>
      <c r="G83" s="34" t="s">
        <v>22</v>
      </c>
      <c r="H83" s="34" t="str">
        <f>VLOOKUP(Transactions[[#This Row],[Sub-category]],TblDV45[#All],2)</f>
        <v>Transport</v>
      </c>
      <c r="I83" s="34" t="str">
        <f>VLOOKUP(Transactions[[#This Row],[Sub-category]],TblDV45[#All],3)</f>
        <v>Expense</v>
      </c>
    </row>
    <row r="84" spans="1:9" x14ac:dyDescent="0.3">
      <c r="A84" s="29" t="s">
        <v>59</v>
      </c>
      <c r="B84" s="33">
        <v>44979</v>
      </c>
      <c r="C84" s="29" t="s">
        <v>11</v>
      </c>
      <c r="D84" s="29">
        <v>50</v>
      </c>
      <c r="F84" s="34">
        <f t="shared" si="1"/>
        <v>-50</v>
      </c>
      <c r="G84" s="34" t="s">
        <v>12</v>
      </c>
      <c r="H84" s="34" t="str">
        <f>VLOOKUP(Transactions[[#This Row],[Sub-category]],TblDV45[#All],2)</f>
        <v>Dining Out</v>
      </c>
      <c r="I84" s="34" t="str">
        <f>VLOOKUP(Transactions[[#This Row],[Sub-category]],TblDV45[#All],3)</f>
        <v>Expense</v>
      </c>
    </row>
    <row r="85" spans="1:9" x14ac:dyDescent="0.3">
      <c r="A85" s="29" t="s">
        <v>59</v>
      </c>
      <c r="B85" s="33">
        <v>44980</v>
      </c>
      <c r="C85" s="29" t="s">
        <v>11</v>
      </c>
      <c r="D85" s="29">
        <v>50</v>
      </c>
      <c r="F85" s="34">
        <f t="shared" si="1"/>
        <v>-50</v>
      </c>
      <c r="G85" s="34" t="s">
        <v>12</v>
      </c>
      <c r="H85" s="34" t="str">
        <f>VLOOKUP(Transactions[[#This Row],[Sub-category]],TblDV45[#All],2)</f>
        <v>Dining Out</v>
      </c>
      <c r="I85" s="34" t="str">
        <f>VLOOKUP(Transactions[[#This Row],[Sub-category]],TblDV45[#All],3)</f>
        <v>Expense</v>
      </c>
    </row>
    <row r="86" spans="1:9" x14ac:dyDescent="0.3">
      <c r="A86" s="29" t="s">
        <v>59</v>
      </c>
      <c r="B86" s="33">
        <v>44981</v>
      </c>
      <c r="C86" s="29" t="s">
        <v>11</v>
      </c>
      <c r="D86" s="29">
        <v>50</v>
      </c>
      <c r="F86" s="34">
        <f t="shared" si="1"/>
        <v>-50</v>
      </c>
      <c r="G86" s="34" t="s">
        <v>12</v>
      </c>
      <c r="H86" s="34" t="str">
        <f>VLOOKUP(Transactions[[#This Row],[Sub-category]],TblDV45[#All],2)</f>
        <v>Dining Out</v>
      </c>
      <c r="I86" s="34" t="str">
        <f>VLOOKUP(Transactions[[#This Row],[Sub-category]],TblDV45[#All],3)</f>
        <v>Expense</v>
      </c>
    </row>
    <row r="87" spans="1:9" x14ac:dyDescent="0.3">
      <c r="A87" s="29" t="s">
        <v>59</v>
      </c>
      <c r="B87" s="33">
        <v>44982</v>
      </c>
      <c r="C87" s="29" t="s">
        <v>11</v>
      </c>
      <c r="D87" s="29">
        <v>50</v>
      </c>
      <c r="F87" s="34">
        <f t="shared" si="1"/>
        <v>-50</v>
      </c>
      <c r="G87" s="34" t="s">
        <v>12</v>
      </c>
      <c r="H87" s="34" t="str">
        <f>VLOOKUP(Transactions[[#This Row],[Sub-category]],TblDV45[#All],2)</f>
        <v>Dining Out</v>
      </c>
      <c r="I87" s="34" t="str">
        <f>VLOOKUP(Transactions[[#This Row],[Sub-category]],TblDV45[#All],3)</f>
        <v>Expense</v>
      </c>
    </row>
    <row r="88" spans="1:9" x14ac:dyDescent="0.3">
      <c r="A88" s="29" t="s">
        <v>59</v>
      </c>
      <c r="B88" s="33">
        <v>44983</v>
      </c>
      <c r="C88" s="29" t="s">
        <v>11</v>
      </c>
      <c r="D88" s="29">
        <v>50</v>
      </c>
      <c r="F88" s="34">
        <f t="shared" si="1"/>
        <v>-50</v>
      </c>
      <c r="G88" s="34" t="s">
        <v>12</v>
      </c>
      <c r="H88" s="34" t="str">
        <f>VLOOKUP(Transactions[[#This Row],[Sub-category]],TblDV45[#All],2)</f>
        <v>Dining Out</v>
      </c>
      <c r="I88" s="34" t="str">
        <f>VLOOKUP(Transactions[[#This Row],[Sub-category]],TblDV45[#All],3)</f>
        <v>Expense</v>
      </c>
    </row>
    <row r="89" spans="1:9" x14ac:dyDescent="0.3">
      <c r="A89" s="29" t="s">
        <v>59</v>
      </c>
      <c r="B89" s="33">
        <v>44983</v>
      </c>
      <c r="C89" s="29" t="s">
        <v>17</v>
      </c>
      <c r="D89" s="29">
        <v>162.9</v>
      </c>
      <c r="F89" s="34">
        <f t="shared" si="1"/>
        <v>-162.9</v>
      </c>
      <c r="G89" s="34" t="s">
        <v>18</v>
      </c>
      <c r="H89" s="34" t="str">
        <f>VLOOKUP(Transactions[[#This Row],[Sub-category]],TblDV45[#All],2)</f>
        <v>Living Expenses</v>
      </c>
      <c r="I89" s="34" t="str">
        <f>VLOOKUP(Transactions[[#This Row],[Sub-category]],TblDV45[#All],3)</f>
        <v>Expense</v>
      </c>
    </row>
    <row r="90" spans="1:9" x14ac:dyDescent="0.3">
      <c r="A90" s="29" t="s">
        <v>59</v>
      </c>
      <c r="B90" s="33">
        <v>44984</v>
      </c>
      <c r="C90" s="29" t="s">
        <v>40</v>
      </c>
      <c r="D90" s="29">
        <v>1375</v>
      </c>
      <c r="F90" s="34">
        <f t="shared" si="1"/>
        <v>-1375</v>
      </c>
      <c r="G90" s="34" t="s">
        <v>25</v>
      </c>
      <c r="H90" s="34" t="str">
        <f>VLOOKUP(Transactions[[#This Row],[Sub-category]],TblDV45[#All],2)</f>
        <v>Discretionary</v>
      </c>
      <c r="I90" s="34" t="str">
        <f>VLOOKUP(Transactions[[#This Row],[Sub-category]],TblDV45[#All],3)</f>
        <v>Expense</v>
      </c>
    </row>
    <row r="91" spans="1:9" x14ac:dyDescent="0.3">
      <c r="A91" s="29" t="s">
        <v>59</v>
      </c>
      <c r="B91" s="33">
        <v>44985</v>
      </c>
      <c r="C91" s="29" t="s">
        <v>46</v>
      </c>
      <c r="D91" s="29">
        <v>146.1</v>
      </c>
      <c r="F91" s="34">
        <f t="shared" si="1"/>
        <v>-146.1</v>
      </c>
      <c r="G91" s="34" t="s">
        <v>25</v>
      </c>
      <c r="H91" s="34" t="str">
        <f>VLOOKUP(Transactions[[#This Row],[Sub-category]],TblDV45[#All],2)</f>
        <v>Discretionary</v>
      </c>
      <c r="I91" s="34" t="str">
        <f>VLOOKUP(Transactions[[#This Row],[Sub-category]],TblDV45[#All],3)</f>
        <v>Expense</v>
      </c>
    </row>
    <row r="92" spans="1:9" x14ac:dyDescent="0.3">
      <c r="A92" s="29" t="s">
        <v>59</v>
      </c>
      <c r="B92" s="33">
        <v>44985</v>
      </c>
      <c r="C92" s="29" t="s">
        <v>27</v>
      </c>
      <c r="D92" s="29">
        <v>120</v>
      </c>
      <c r="F92" s="34">
        <f t="shared" si="1"/>
        <v>-120</v>
      </c>
      <c r="G92" s="34" t="s">
        <v>28</v>
      </c>
      <c r="H92" s="34" t="str">
        <f>VLOOKUP(Transactions[[#This Row],[Sub-category]],TblDV45[#All],2)</f>
        <v>Transport</v>
      </c>
      <c r="I92" s="34" t="str">
        <f>VLOOKUP(Transactions[[#This Row],[Sub-category]],TblDV45[#All],3)</f>
        <v>Expense</v>
      </c>
    </row>
    <row r="93" spans="1:9" x14ac:dyDescent="0.3">
      <c r="A93" s="29" t="s">
        <v>58</v>
      </c>
      <c r="B93" s="33">
        <v>44986</v>
      </c>
      <c r="C93" s="29" t="s">
        <v>9</v>
      </c>
      <c r="E93" s="29">
        <v>30000</v>
      </c>
      <c r="F93" s="34">
        <f t="shared" si="1"/>
        <v>30000</v>
      </c>
      <c r="G93" s="34" t="s">
        <v>10</v>
      </c>
      <c r="H93" s="34" t="str">
        <f>VLOOKUP(Transactions[[#This Row],[Sub-category]],TblDV45[#All],2)</f>
        <v>Salary</v>
      </c>
      <c r="I93" s="34" t="str">
        <f>VLOOKUP(Transactions[[#This Row],[Sub-category]],TblDV45[#All],3)</f>
        <v>Income</v>
      </c>
    </row>
    <row r="94" spans="1:9" x14ac:dyDescent="0.3">
      <c r="A94" s="29" t="s">
        <v>59</v>
      </c>
      <c r="B94" s="33">
        <v>44986</v>
      </c>
      <c r="C94" s="29" t="s">
        <v>11</v>
      </c>
      <c r="D94" s="29">
        <v>50</v>
      </c>
      <c r="F94" s="34">
        <f t="shared" si="1"/>
        <v>-50</v>
      </c>
      <c r="G94" s="34" t="s">
        <v>12</v>
      </c>
      <c r="H94" s="34" t="str">
        <f>VLOOKUP(Transactions[[#This Row],[Sub-category]],TblDV45[#All],2)</f>
        <v>Dining Out</v>
      </c>
      <c r="I94" s="34" t="str">
        <f>VLOOKUP(Transactions[[#This Row],[Sub-category]],TblDV45[#All],3)</f>
        <v>Expense</v>
      </c>
    </row>
    <row r="95" spans="1:9" x14ac:dyDescent="0.3">
      <c r="A95" s="29" t="s">
        <v>58</v>
      </c>
      <c r="B95" s="33">
        <v>44987</v>
      </c>
      <c r="C95" s="29" t="s">
        <v>13</v>
      </c>
      <c r="D95" s="29">
        <v>6000</v>
      </c>
      <c r="F95" s="34">
        <f t="shared" si="1"/>
        <v>-6000</v>
      </c>
      <c r="G95" s="34" t="s">
        <v>14</v>
      </c>
      <c r="H95" s="34" t="str">
        <f>VLOOKUP(Transactions[[#This Row],[Sub-category]],TblDV45[#All],2)</f>
        <v>Living Expenses</v>
      </c>
      <c r="I95" s="34" t="str">
        <f>VLOOKUP(Transactions[[#This Row],[Sub-category]],TblDV45[#All],3)</f>
        <v>Expense</v>
      </c>
    </row>
    <row r="96" spans="1:9" x14ac:dyDescent="0.3">
      <c r="A96" s="29" t="s">
        <v>58</v>
      </c>
      <c r="B96" s="33">
        <v>44987</v>
      </c>
      <c r="C96" s="29" t="s">
        <v>15</v>
      </c>
      <c r="D96" s="29">
        <v>2500</v>
      </c>
      <c r="F96" s="34">
        <f t="shared" si="1"/>
        <v>-2500</v>
      </c>
      <c r="G96" s="34" t="s">
        <v>16</v>
      </c>
      <c r="H96" s="34" t="str">
        <f>VLOOKUP(Transactions[[#This Row],[Sub-category]],TblDV45[#All],2)</f>
        <v>Transport</v>
      </c>
      <c r="I96" s="34" t="str">
        <f>VLOOKUP(Transactions[[#This Row],[Sub-category]],TblDV45[#All],3)</f>
        <v>Expense</v>
      </c>
    </row>
    <row r="97" spans="1:9" x14ac:dyDescent="0.3">
      <c r="A97" s="29" t="s">
        <v>59</v>
      </c>
      <c r="B97" s="33">
        <v>44987</v>
      </c>
      <c r="C97" s="29" t="s">
        <v>11</v>
      </c>
      <c r="D97" s="29">
        <v>50</v>
      </c>
      <c r="F97" s="34">
        <f t="shared" si="1"/>
        <v>-50</v>
      </c>
      <c r="G97" s="34" t="s">
        <v>12</v>
      </c>
      <c r="H97" s="34" t="str">
        <f>VLOOKUP(Transactions[[#This Row],[Sub-category]],TblDV45[#All],2)</f>
        <v>Dining Out</v>
      </c>
      <c r="I97" s="34" t="str">
        <f>VLOOKUP(Transactions[[#This Row],[Sub-category]],TblDV45[#All],3)</f>
        <v>Expense</v>
      </c>
    </row>
    <row r="98" spans="1:9" x14ac:dyDescent="0.3">
      <c r="A98" s="29" t="s">
        <v>59</v>
      </c>
      <c r="B98" s="33">
        <v>44988</v>
      </c>
      <c r="C98" s="29" t="s">
        <v>11</v>
      </c>
      <c r="D98" s="29">
        <v>50</v>
      </c>
      <c r="F98" s="34">
        <f t="shared" si="1"/>
        <v>-50</v>
      </c>
      <c r="G98" s="34" t="s">
        <v>12</v>
      </c>
      <c r="H98" s="34" t="str">
        <f>VLOOKUP(Transactions[[#This Row],[Sub-category]],TblDV45[#All],2)</f>
        <v>Dining Out</v>
      </c>
      <c r="I98" s="34" t="str">
        <f>VLOOKUP(Transactions[[#This Row],[Sub-category]],TblDV45[#All],3)</f>
        <v>Expense</v>
      </c>
    </row>
    <row r="99" spans="1:9" x14ac:dyDescent="0.3">
      <c r="A99" s="29" t="s">
        <v>59</v>
      </c>
      <c r="B99" s="33">
        <v>44989</v>
      </c>
      <c r="C99" s="29" t="s">
        <v>11</v>
      </c>
      <c r="D99" s="29">
        <v>50</v>
      </c>
      <c r="F99" s="34">
        <f t="shared" si="1"/>
        <v>-50</v>
      </c>
      <c r="G99" s="34" t="s">
        <v>12</v>
      </c>
      <c r="H99" s="34" t="str">
        <f>VLOOKUP(Transactions[[#This Row],[Sub-category]],TblDV45[#All],2)</f>
        <v>Dining Out</v>
      </c>
      <c r="I99" s="34" t="str">
        <f>VLOOKUP(Transactions[[#This Row],[Sub-category]],TblDV45[#All],3)</f>
        <v>Expense</v>
      </c>
    </row>
    <row r="100" spans="1:9" x14ac:dyDescent="0.3">
      <c r="A100" s="29" t="s">
        <v>59</v>
      </c>
      <c r="B100" s="33">
        <v>44990</v>
      </c>
      <c r="C100" s="29" t="s">
        <v>11</v>
      </c>
      <c r="D100" s="29">
        <v>50</v>
      </c>
      <c r="F100" s="34">
        <f t="shared" si="1"/>
        <v>-50</v>
      </c>
      <c r="G100" s="34" t="s">
        <v>12</v>
      </c>
      <c r="H100" s="34" t="str">
        <f>VLOOKUP(Transactions[[#This Row],[Sub-category]],TblDV45[#All],2)</f>
        <v>Dining Out</v>
      </c>
      <c r="I100" s="34" t="str">
        <f>VLOOKUP(Transactions[[#This Row],[Sub-category]],TblDV45[#All],3)</f>
        <v>Expense</v>
      </c>
    </row>
    <row r="101" spans="1:9" x14ac:dyDescent="0.3">
      <c r="A101" s="29" t="s">
        <v>59</v>
      </c>
      <c r="B101" s="33">
        <v>44990</v>
      </c>
      <c r="C101" s="29" t="s">
        <v>17</v>
      </c>
      <c r="D101" s="29">
        <v>149</v>
      </c>
      <c r="F101" s="34">
        <f t="shared" si="1"/>
        <v>-149</v>
      </c>
      <c r="G101" s="34" t="s">
        <v>18</v>
      </c>
      <c r="H101" s="34" t="str">
        <f>VLOOKUP(Transactions[[#This Row],[Sub-category]],TblDV45[#All],2)</f>
        <v>Living Expenses</v>
      </c>
      <c r="I101" s="34" t="str">
        <f>VLOOKUP(Transactions[[#This Row],[Sub-category]],TblDV45[#All],3)</f>
        <v>Expense</v>
      </c>
    </row>
    <row r="102" spans="1:9" x14ac:dyDescent="0.3">
      <c r="A102" s="29" t="s">
        <v>58</v>
      </c>
      <c r="B102" s="33">
        <v>44993</v>
      </c>
      <c r="C102" s="29" t="s">
        <v>19</v>
      </c>
      <c r="D102" s="29">
        <v>1100</v>
      </c>
      <c r="F102" s="34">
        <f t="shared" si="1"/>
        <v>-1100</v>
      </c>
      <c r="G102" s="34" t="s">
        <v>20</v>
      </c>
      <c r="H102" s="34" t="str">
        <f>VLOOKUP(Transactions[[#This Row],[Sub-category]],TblDV45[#All],2)</f>
        <v>Living Expenses</v>
      </c>
      <c r="I102" s="34" t="str">
        <f>VLOOKUP(Transactions[[#This Row],[Sub-category]],TblDV45[#All],3)</f>
        <v>Expense</v>
      </c>
    </row>
    <row r="103" spans="1:9" x14ac:dyDescent="0.3">
      <c r="A103" s="29" t="s">
        <v>59</v>
      </c>
      <c r="B103" s="33">
        <v>44993</v>
      </c>
      <c r="C103" s="29" t="s">
        <v>11</v>
      </c>
      <c r="D103" s="29">
        <v>50</v>
      </c>
      <c r="F103" s="34">
        <f t="shared" si="1"/>
        <v>-50</v>
      </c>
      <c r="G103" s="34" t="s">
        <v>12</v>
      </c>
      <c r="H103" s="34" t="str">
        <f>VLOOKUP(Transactions[[#This Row],[Sub-category]],TblDV45[#All],2)</f>
        <v>Dining Out</v>
      </c>
      <c r="I103" s="34" t="str">
        <f>VLOOKUP(Transactions[[#This Row],[Sub-category]],TblDV45[#All],3)</f>
        <v>Expense</v>
      </c>
    </row>
    <row r="104" spans="1:9" x14ac:dyDescent="0.3">
      <c r="A104" s="29" t="s">
        <v>59</v>
      </c>
      <c r="B104" s="33">
        <v>44994</v>
      </c>
      <c r="C104" s="29" t="s">
        <v>11</v>
      </c>
      <c r="D104" s="29">
        <v>50</v>
      </c>
      <c r="F104" s="34">
        <f t="shared" si="1"/>
        <v>-50</v>
      </c>
      <c r="G104" s="34" t="s">
        <v>12</v>
      </c>
      <c r="H104" s="34" t="str">
        <f>VLOOKUP(Transactions[[#This Row],[Sub-category]],TblDV45[#All],2)</f>
        <v>Dining Out</v>
      </c>
      <c r="I104" s="34" t="str">
        <f>VLOOKUP(Transactions[[#This Row],[Sub-category]],TblDV45[#All],3)</f>
        <v>Expense</v>
      </c>
    </row>
    <row r="105" spans="1:9" x14ac:dyDescent="0.3">
      <c r="A105" s="29" t="s">
        <v>59</v>
      </c>
      <c r="B105" s="33">
        <v>44995</v>
      </c>
      <c r="C105" s="29" t="s">
        <v>21</v>
      </c>
      <c r="D105" s="29">
        <v>300</v>
      </c>
      <c r="F105" s="34">
        <f t="shared" si="1"/>
        <v>-300</v>
      </c>
      <c r="G105" s="34" t="s">
        <v>22</v>
      </c>
      <c r="H105" s="34" t="str">
        <f>VLOOKUP(Transactions[[#This Row],[Sub-category]],TblDV45[#All],2)</f>
        <v>Transport</v>
      </c>
      <c r="I105" s="34" t="str">
        <f>VLOOKUP(Transactions[[#This Row],[Sub-category]],TblDV45[#All],3)</f>
        <v>Expense</v>
      </c>
    </row>
    <row r="106" spans="1:9" x14ac:dyDescent="0.3">
      <c r="A106" s="29" t="s">
        <v>59</v>
      </c>
      <c r="B106" s="33">
        <v>44995</v>
      </c>
      <c r="C106" s="29" t="s">
        <v>11</v>
      </c>
      <c r="D106" s="29">
        <v>50</v>
      </c>
      <c r="F106" s="34">
        <f t="shared" si="1"/>
        <v>-50</v>
      </c>
      <c r="G106" s="34" t="s">
        <v>12</v>
      </c>
      <c r="H106" s="34" t="str">
        <f>VLOOKUP(Transactions[[#This Row],[Sub-category]],TblDV45[#All],2)</f>
        <v>Dining Out</v>
      </c>
      <c r="I106" s="34" t="str">
        <f>VLOOKUP(Transactions[[#This Row],[Sub-category]],TblDV45[#All],3)</f>
        <v>Expense</v>
      </c>
    </row>
    <row r="107" spans="1:9" x14ac:dyDescent="0.3">
      <c r="A107" s="29" t="s">
        <v>59</v>
      </c>
      <c r="B107" s="33">
        <v>44996</v>
      </c>
      <c r="C107" s="29" t="s">
        <v>11</v>
      </c>
      <c r="D107" s="29">
        <v>50</v>
      </c>
      <c r="F107" s="34">
        <f t="shared" si="1"/>
        <v>-50</v>
      </c>
      <c r="G107" s="34" t="s">
        <v>12</v>
      </c>
      <c r="H107" s="34" t="str">
        <f>VLOOKUP(Transactions[[#This Row],[Sub-category]],TblDV45[#All],2)</f>
        <v>Dining Out</v>
      </c>
      <c r="I107" s="34" t="str">
        <f>VLOOKUP(Transactions[[#This Row],[Sub-category]],TblDV45[#All],3)</f>
        <v>Expense</v>
      </c>
    </row>
    <row r="108" spans="1:9" x14ac:dyDescent="0.3">
      <c r="A108" s="29" t="s">
        <v>59</v>
      </c>
      <c r="B108" s="33">
        <v>44997</v>
      </c>
      <c r="C108" s="29" t="s">
        <v>17</v>
      </c>
      <c r="D108" s="29">
        <v>137</v>
      </c>
      <c r="F108" s="34">
        <f t="shared" si="1"/>
        <v>-137</v>
      </c>
      <c r="G108" s="34" t="s">
        <v>18</v>
      </c>
      <c r="H108" s="34" t="str">
        <f>VLOOKUP(Transactions[[#This Row],[Sub-category]],TblDV45[#All],2)</f>
        <v>Living Expenses</v>
      </c>
      <c r="I108" s="34" t="str">
        <f>VLOOKUP(Transactions[[#This Row],[Sub-category]],TblDV45[#All],3)</f>
        <v>Expense</v>
      </c>
    </row>
    <row r="109" spans="1:9" x14ac:dyDescent="0.3">
      <c r="A109" s="29" t="s">
        <v>59</v>
      </c>
      <c r="B109" s="33">
        <v>44997</v>
      </c>
      <c r="C109" s="29" t="s">
        <v>11</v>
      </c>
      <c r="D109" s="29">
        <v>50</v>
      </c>
      <c r="F109" s="34">
        <f t="shared" si="1"/>
        <v>-50</v>
      </c>
      <c r="G109" s="34" t="s">
        <v>12</v>
      </c>
      <c r="H109" s="34" t="str">
        <f>VLOOKUP(Transactions[[#This Row],[Sub-category]],TblDV45[#All],2)</f>
        <v>Dining Out</v>
      </c>
      <c r="I109" s="34" t="str">
        <f>VLOOKUP(Transactions[[#This Row],[Sub-category]],TblDV45[#All],3)</f>
        <v>Expense</v>
      </c>
    </row>
    <row r="110" spans="1:9" x14ac:dyDescent="0.3">
      <c r="A110" s="29" t="s">
        <v>59</v>
      </c>
      <c r="B110" s="33">
        <v>44998</v>
      </c>
      <c r="C110" s="29" t="s">
        <v>11</v>
      </c>
      <c r="D110" s="29">
        <v>50</v>
      </c>
      <c r="F110" s="34">
        <f t="shared" si="1"/>
        <v>-50</v>
      </c>
      <c r="G110" s="34" t="s">
        <v>12</v>
      </c>
      <c r="H110" s="34" t="str">
        <f>VLOOKUP(Transactions[[#This Row],[Sub-category]],TblDV45[#All],2)</f>
        <v>Dining Out</v>
      </c>
      <c r="I110" s="34" t="str">
        <f>VLOOKUP(Transactions[[#This Row],[Sub-category]],TblDV45[#All],3)</f>
        <v>Expense</v>
      </c>
    </row>
    <row r="111" spans="1:9" x14ac:dyDescent="0.3">
      <c r="A111" s="29" t="s">
        <v>59</v>
      </c>
      <c r="B111" s="33">
        <v>44998</v>
      </c>
      <c r="C111" s="29" t="s">
        <v>23</v>
      </c>
      <c r="D111" s="29">
        <v>140</v>
      </c>
      <c r="F111" s="34">
        <f t="shared" si="1"/>
        <v>-140</v>
      </c>
      <c r="G111" s="34" t="s">
        <v>24</v>
      </c>
      <c r="H111" s="34" t="str">
        <f>VLOOKUP(Transactions[[#This Row],[Sub-category]],TblDV45[#All],2)</f>
        <v>Discretionary</v>
      </c>
      <c r="I111" s="34" t="str">
        <f>VLOOKUP(Transactions[[#This Row],[Sub-category]],TblDV45[#All],3)</f>
        <v>Expense</v>
      </c>
    </row>
    <row r="112" spans="1:9" x14ac:dyDescent="0.3">
      <c r="A112" s="29" t="s">
        <v>59</v>
      </c>
      <c r="B112" s="33">
        <v>44998</v>
      </c>
      <c r="C112" s="29" t="s">
        <v>46</v>
      </c>
      <c r="D112" s="29">
        <v>599.9</v>
      </c>
      <c r="F112" s="34">
        <f t="shared" si="1"/>
        <v>-599.9</v>
      </c>
      <c r="G112" s="34" t="s">
        <v>25</v>
      </c>
      <c r="H112" s="34" t="str">
        <f>VLOOKUP(Transactions[[#This Row],[Sub-category]],TblDV45[#All],2)</f>
        <v>Discretionary</v>
      </c>
      <c r="I112" s="34" t="str">
        <f>VLOOKUP(Transactions[[#This Row],[Sub-category]],TblDV45[#All],3)</f>
        <v>Expense</v>
      </c>
    </row>
    <row r="113" spans="1:9" x14ac:dyDescent="0.3">
      <c r="A113" s="29" t="s">
        <v>59</v>
      </c>
      <c r="B113" s="33">
        <v>44998</v>
      </c>
      <c r="C113" s="29" t="s">
        <v>48</v>
      </c>
      <c r="D113" s="29">
        <v>200</v>
      </c>
      <c r="F113" s="34">
        <f t="shared" si="1"/>
        <v>-200</v>
      </c>
      <c r="G113" s="34" t="s">
        <v>26</v>
      </c>
      <c r="H113" s="34" t="str">
        <f>VLOOKUP(Transactions[[#This Row],[Sub-category]],TblDV45[#All],2)</f>
        <v>Dining Out</v>
      </c>
      <c r="I113" s="34" t="str">
        <f>VLOOKUP(Transactions[[#This Row],[Sub-category]],TblDV45[#All],3)</f>
        <v>Expense</v>
      </c>
    </row>
    <row r="114" spans="1:9" x14ac:dyDescent="0.3">
      <c r="A114" s="29" t="s">
        <v>59</v>
      </c>
      <c r="B114" s="33">
        <v>44999</v>
      </c>
      <c r="C114" s="29" t="s">
        <v>27</v>
      </c>
      <c r="D114" s="29">
        <v>120</v>
      </c>
      <c r="F114" s="34">
        <f t="shared" si="1"/>
        <v>-120</v>
      </c>
      <c r="G114" s="34" t="s">
        <v>28</v>
      </c>
      <c r="H114" s="34" t="str">
        <f>VLOOKUP(Transactions[[#This Row],[Sub-category]],TblDV45[#All],2)</f>
        <v>Transport</v>
      </c>
      <c r="I114" s="34" t="str">
        <f>VLOOKUP(Transactions[[#This Row],[Sub-category]],TblDV45[#All],3)</f>
        <v>Expense</v>
      </c>
    </row>
    <row r="115" spans="1:9" x14ac:dyDescent="0.3">
      <c r="A115" s="29" t="s">
        <v>58</v>
      </c>
      <c r="B115" s="33">
        <v>45000</v>
      </c>
      <c r="C115" s="29" t="s">
        <v>29</v>
      </c>
      <c r="D115" s="29">
        <v>300</v>
      </c>
      <c r="F115" s="34">
        <f t="shared" si="1"/>
        <v>-300</v>
      </c>
      <c r="G115" s="34" t="s">
        <v>30</v>
      </c>
      <c r="H115" s="34" t="str">
        <f>VLOOKUP(Transactions[[#This Row],[Sub-category]],TblDV45[#All],2)</f>
        <v>Discretionary</v>
      </c>
      <c r="I115" s="34" t="str">
        <f>VLOOKUP(Transactions[[#This Row],[Sub-category]],TblDV45[#All],3)</f>
        <v>Expense</v>
      </c>
    </row>
    <row r="116" spans="1:9" x14ac:dyDescent="0.3">
      <c r="A116" s="29" t="s">
        <v>59</v>
      </c>
      <c r="B116" s="33">
        <v>45000</v>
      </c>
      <c r="C116" s="29" t="s">
        <v>11</v>
      </c>
      <c r="D116" s="29">
        <v>50</v>
      </c>
      <c r="F116" s="34">
        <f t="shared" si="1"/>
        <v>-50</v>
      </c>
      <c r="G116" s="34" t="s">
        <v>12</v>
      </c>
      <c r="H116" s="34" t="str">
        <f>VLOOKUP(Transactions[[#This Row],[Sub-category]],TblDV45[#All],2)</f>
        <v>Dining Out</v>
      </c>
      <c r="I116" s="34" t="str">
        <f>VLOOKUP(Transactions[[#This Row],[Sub-category]],TblDV45[#All],3)</f>
        <v>Expense</v>
      </c>
    </row>
    <row r="117" spans="1:9" x14ac:dyDescent="0.3">
      <c r="A117" s="29" t="s">
        <v>59</v>
      </c>
      <c r="B117" s="33">
        <v>45001</v>
      </c>
      <c r="C117" s="29" t="s">
        <v>11</v>
      </c>
      <c r="D117" s="29">
        <v>50</v>
      </c>
      <c r="F117" s="34">
        <f t="shared" si="1"/>
        <v>-50</v>
      </c>
      <c r="G117" s="34" t="s">
        <v>12</v>
      </c>
      <c r="H117" s="34" t="str">
        <f>VLOOKUP(Transactions[[#This Row],[Sub-category]],TblDV45[#All],2)</f>
        <v>Dining Out</v>
      </c>
      <c r="I117" s="34" t="str">
        <f>VLOOKUP(Transactions[[#This Row],[Sub-category]],TblDV45[#All],3)</f>
        <v>Expense</v>
      </c>
    </row>
    <row r="118" spans="1:9" x14ac:dyDescent="0.3">
      <c r="A118" s="29" t="s">
        <v>58</v>
      </c>
      <c r="B118" s="33">
        <v>45001</v>
      </c>
      <c r="C118" s="29" t="s">
        <v>41</v>
      </c>
      <c r="D118" s="29">
        <v>100</v>
      </c>
      <c r="F118" s="34">
        <f t="shared" si="1"/>
        <v>-100</v>
      </c>
      <c r="G118" s="34" t="s">
        <v>42</v>
      </c>
      <c r="H118" s="34" t="str">
        <f>VLOOKUP(Transactions[[#This Row],[Sub-category]],TblDV45[#All],2)</f>
        <v>Medical</v>
      </c>
      <c r="I118" s="34" t="str">
        <f>VLOOKUP(Transactions[[#This Row],[Sub-category]],TblDV45[#All],3)</f>
        <v>Expense</v>
      </c>
    </row>
    <row r="119" spans="1:9" x14ac:dyDescent="0.3">
      <c r="A119" s="29" t="s">
        <v>58</v>
      </c>
      <c r="B119" s="33">
        <v>45001</v>
      </c>
      <c r="C119" s="29" t="s">
        <v>47</v>
      </c>
      <c r="D119" s="29">
        <v>699</v>
      </c>
      <c r="F119" s="34">
        <f t="shared" si="1"/>
        <v>-699</v>
      </c>
      <c r="G119" s="34" t="s">
        <v>33</v>
      </c>
      <c r="H119" s="34" t="str">
        <f>VLOOKUP(Transactions[[#This Row],[Sub-category]],TblDV45[#All],2)</f>
        <v>Living Expenses</v>
      </c>
      <c r="I119" s="34" t="str">
        <f>VLOOKUP(Transactions[[#This Row],[Sub-category]],TblDV45[#All],3)</f>
        <v>Expense</v>
      </c>
    </row>
    <row r="120" spans="1:9" x14ac:dyDescent="0.3">
      <c r="A120" s="29" t="s">
        <v>59</v>
      </c>
      <c r="B120" s="33">
        <v>45002</v>
      </c>
      <c r="C120" s="29" t="s">
        <v>34</v>
      </c>
      <c r="D120" s="29">
        <v>500</v>
      </c>
      <c r="F120" s="34">
        <f t="shared" si="1"/>
        <v>-500</v>
      </c>
      <c r="G120" s="34" t="s">
        <v>34</v>
      </c>
      <c r="H120" s="34" t="str">
        <f>VLOOKUP(Transactions[[#This Row],[Sub-category]],TblDV45[#All],2)</f>
        <v>Discretionary</v>
      </c>
      <c r="I120" s="34" t="str">
        <f>VLOOKUP(Transactions[[#This Row],[Sub-category]],TblDV45[#All],3)</f>
        <v>Expense</v>
      </c>
    </row>
    <row r="121" spans="1:9" x14ac:dyDescent="0.3">
      <c r="A121" s="29" t="s">
        <v>59</v>
      </c>
      <c r="B121" s="33">
        <v>45002</v>
      </c>
      <c r="C121" s="29" t="s">
        <v>35</v>
      </c>
      <c r="D121" s="29">
        <v>500</v>
      </c>
      <c r="F121" s="34">
        <f t="shared" si="1"/>
        <v>-500</v>
      </c>
      <c r="G121" s="34" t="s">
        <v>24</v>
      </c>
      <c r="H121" s="34" t="str">
        <f>VLOOKUP(Transactions[[#This Row],[Sub-category]],TblDV45[#All],2)</f>
        <v>Discretionary</v>
      </c>
      <c r="I121" s="34" t="str">
        <f>VLOOKUP(Transactions[[#This Row],[Sub-category]],TblDV45[#All],3)</f>
        <v>Expense</v>
      </c>
    </row>
    <row r="122" spans="1:9" x14ac:dyDescent="0.3">
      <c r="A122" s="29" t="s">
        <v>59</v>
      </c>
      <c r="B122" s="33">
        <v>45002</v>
      </c>
      <c r="C122" s="29" t="s">
        <v>11</v>
      </c>
      <c r="D122" s="29">
        <v>50</v>
      </c>
      <c r="F122" s="34">
        <f t="shared" si="1"/>
        <v>-50</v>
      </c>
      <c r="G122" s="34" t="s">
        <v>12</v>
      </c>
      <c r="H122" s="34" t="str">
        <f>VLOOKUP(Transactions[[#This Row],[Sub-category]],TblDV45[#All],2)</f>
        <v>Dining Out</v>
      </c>
      <c r="I122" s="34" t="str">
        <f>VLOOKUP(Transactions[[#This Row],[Sub-category]],TblDV45[#All],3)</f>
        <v>Expense</v>
      </c>
    </row>
    <row r="123" spans="1:9" x14ac:dyDescent="0.3">
      <c r="A123" s="29" t="s">
        <v>59</v>
      </c>
      <c r="B123" s="33">
        <v>45003</v>
      </c>
      <c r="C123" s="29" t="s">
        <v>11</v>
      </c>
      <c r="D123" s="29">
        <v>50</v>
      </c>
      <c r="F123" s="34">
        <f t="shared" si="1"/>
        <v>-50</v>
      </c>
      <c r="G123" s="34" t="s">
        <v>12</v>
      </c>
      <c r="H123" s="34" t="str">
        <f>VLOOKUP(Transactions[[#This Row],[Sub-category]],TblDV45[#All],2)</f>
        <v>Dining Out</v>
      </c>
      <c r="I123" s="34" t="str">
        <f>VLOOKUP(Transactions[[#This Row],[Sub-category]],TblDV45[#All],3)</f>
        <v>Expense</v>
      </c>
    </row>
    <row r="124" spans="1:9" x14ac:dyDescent="0.3">
      <c r="A124" s="29" t="s">
        <v>59</v>
      </c>
      <c r="B124" s="33">
        <v>45004</v>
      </c>
      <c r="C124" s="29" t="s">
        <v>11</v>
      </c>
      <c r="D124" s="29">
        <v>50</v>
      </c>
      <c r="F124" s="34">
        <f t="shared" si="1"/>
        <v>-50</v>
      </c>
      <c r="G124" s="34" t="s">
        <v>12</v>
      </c>
      <c r="H124" s="34" t="str">
        <f>VLOOKUP(Transactions[[#This Row],[Sub-category]],TblDV45[#All],2)</f>
        <v>Dining Out</v>
      </c>
      <c r="I124" s="34" t="str">
        <f>VLOOKUP(Transactions[[#This Row],[Sub-category]],TblDV45[#All],3)</f>
        <v>Expense</v>
      </c>
    </row>
    <row r="125" spans="1:9" x14ac:dyDescent="0.3">
      <c r="A125" s="29" t="s">
        <v>59</v>
      </c>
      <c r="B125" s="33">
        <v>45004</v>
      </c>
      <c r="C125" s="29" t="s">
        <v>17</v>
      </c>
      <c r="D125" s="29">
        <v>171.9</v>
      </c>
      <c r="F125" s="34">
        <f t="shared" si="1"/>
        <v>-171.9</v>
      </c>
      <c r="G125" s="34" t="s">
        <v>18</v>
      </c>
      <c r="H125" s="34" t="str">
        <f>VLOOKUP(Transactions[[#This Row],[Sub-category]],TblDV45[#All],2)</f>
        <v>Living Expenses</v>
      </c>
      <c r="I125" s="34" t="str">
        <f>VLOOKUP(Transactions[[#This Row],[Sub-category]],TblDV45[#All],3)</f>
        <v>Expense</v>
      </c>
    </row>
    <row r="126" spans="1:9" x14ac:dyDescent="0.3">
      <c r="A126" s="29" t="s">
        <v>59</v>
      </c>
      <c r="B126" s="33">
        <v>45005</v>
      </c>
      <c r="C126" s="29" t="s">
        <v>60</v>
      </c>
      <c r="D126" s="29">
        <v>599</v>
      </c>
      <c r="F126" s="34">
        <f t="shared" si="1"/>
        <v>-599</v>
      </c>
      <c r="G126" s="34" t="s">
        <v>26</v>
      </c>
      <c r="H126" s="34" t="str">
        <f>VLOOKUP(Transactions[[#This Row],[Sub-category]],TblDV45[#All],2)</f>
        <v>Dining Out</v>
      </c>
      <c r="I126" s="34" t="str">
        <f>VLOOKUP(Transactions[[#This Row],[Sub-category]],TblDV45[#All],3)</f>
        <v>Expense</v>
      </c>
    </row>
    <row r="127" spans="1:9" x14ac:dyDescent="0.3">
      <c r="A127" s="29" t="s">
        <v>59</v>
      </c>
      <c r="B127" s="33">
        <v>45006</v>
      </c>
      <c r="C127" s="29" t="s">
        <v>36</v>
      </c>
      <c r="D127" s="29">
        <v>14</v>
      </c>
      <c r="F127" s="34">
        <f t="shared" si="1"/>
        <v>-14</v>
      </c>
      <c r="G127" s="34" t="s">
        <v>26</v>
      </c>
      <c r="H127" s="34" t="str">
        <f>VLOOKUP(Transactions[[#This Row],[Sub-category]],TblDV45[#All],2)</f>
        <v>Dining Out</v>
      </c>
      <c r="I127" s="34" t="str">
        <f>VLOOKUP(Transactions[[#This Row],[Sub-category]],TblDV45[#All],3)</f>
        <v>Expense</v>
      </c>
    </row>
    <row r="128" spans="1:9" x14ac:dyDescent="0.3">
      <c r="A128" s="29" t="s">
        <v>58</v>
      </c>
      <c r="B128" s="33">
        <v>45007</v>
      </c>
      <c r="C128" s="29" t="s">
        <v>37</v>
      </c>
      <c r="D128" s="29">
        <v>551</v>
      </c>
      <c r="F128" s="34">
        <f t="shared" ref="F128:F187" si="2">E128-D128</f>
        <v>-551</v>
      </c>
      <c r="G128" s="34" t="s">
        <v>38</v>
      </c>
      <c r="H128" s="34" t="str">
        <f>VLOOKUP(Transactions[[#This Row],[Sub-category]],TblDV45[#All],2)</f>
        <v>Charity</v>
      </c>
      <c r="I128" s="34" t="str">
        <f>VLOOKUP(Transactions[[#This Row],[Sub-category]],TblDV45[#All],3)</f>
        <v>Expense</v>
      </c>
    </row>
    <row r="129" spans="1:9" x14ac:dyDescent="0.3">
      <c r="A129" s="29" t="s">
        <v>59</v>
      </c>
      <c r="B129" s="33">
        <v>45007</v>
      </c>
      <c r="C129" s="29" t="s">
        <v>21</v>
      </c>
      <c r="D129" s="29">
        <v>300</v>
      </c>
      <c r="F129" s="34">
        <f t="shared" si="2"/>
        <v>-300</v>
      </c>
      <c r="G129" s="34" t="s">
        <v>22</v>
      </c>
      <c r="H129" s="34" t="str">
        <f>VLOOKUP(Transactions[[#This Row],[Sub-category]],TblDV45[#All],2)</f>
        <v>Transport</v>
      </c>
      <c r="I129" s="34" t="str">
        <f>VLOOKUP(Transactions[[#This Row],[Sub-category]],TblDV45[#All],3)</f>
        <v>Expense</v>
      </c>
    </row>
    <row r="130" spans="1:9" x14ac:dyDescent="0.3">
      <c r="A130" s="29" t="s">
        <v>59</v>
      </c>
      <c r="B130" s="33">
        <v>45007</v>
      </c>
      <c r="C130" s="29" t="s">
        <v>11</v>
      </c>
      <c r="D130" s="29">
        <v>50</v>
      </c>
      <c r="F130" s="34">
        <f t="shared" si="2"/>
        <v>-50</v>
      </c>
      <c r="G130" s="34" t="s">
        <v>12</v>
      </c>
      <c r="H130" s="34" t="str">
        <f>VLOOKUP(Transactions[[#This Row],[Sub-category]],TblDV45[#All],2)</f>
        <v>Dining Out</v>
      </c>
      <c r="I130" s="34" t="str">
        <f>VLOOKUP(Transactions[[#This Row],[Sub-category]],TblDV45[#All],3)</f>
        <v>Expense</v>
      </c>
    </row>
    <row r="131" spans="1:9" x14ac:dyDescent="0.3">
      <c r="A131" s="29" t="s">
        <v>59</v>
      </c>
      <c r="B131" s="33">
        <v>45008</v>
      </c>
      <c r="C131" s="29" t="s">
        <v>11</v>
      </c>
      <c r="D131" s="29">
        <v>50</v>
      </c>
      <c r="F131" s="34">
        <f t="shared" si="2"/>
        <v>-50</v>
      </c>
      <c r="G131" s="34" t="s">
        <v>12</v>
      </c>
      <c r="H131" s="34" t="str">
        <f>VLOOKUP(Transactions[[#This Row],[Sub-category]],TblDV45[#All],2)</f>
        <v>Dining Out</v>
      </c>
      <c r="I131" s="34" t="str">
        <f>VLOOKUP(Transactions[[#This Row],[Sub-category]],TblDV45[#All],3)</f>
        <v>Expense</v>
      </c>
    </row>
    <row r="132" spans="1:9" x14ac:dyDescent="0.3">
      <c r="A132" s="29" t="s">
        <v>59</v>
      </c>
      <c r="B132" s="33">
        <v>45009</v>
      </c>
      <c r="C132" s="29" t="s">
        <v>11</v>
      </c>
      <c r="D132" s="29">
        <v>50</v>
      </c>
      <c r="F132" s="34">
        <f t="shared" si="2"/>
        <v>-50</v>
      </c>
      <c r="G132" s="34" t="s">
        <v>12</v>
      </c>
      <c r="H132" s="34" t="str">
        <f>VLOOKUP(Transactions[[#This Row],[Sub-category]],TblDV45[#All],2)</f>
        <v>Dining Out</v>
      </c>
      <c r="I132" s="34" t="str">
        <f>VLOOKUP(Transactions[[#This Row],[Sub-category]],TblDV45[#All],3)</f>
        <v>Expense</v>
      </c>
    </row>
    <row r="133" spans="1:9" x14ac:dyDescent="0.3">
      <c r="A133" s="29" t="s">
        <v>59</v>
      </c>
      <c r="B133" s="33">
        <v>45010</v>
      </c>
      <c r="C133" s="29" t="s">
        <v>11</v>
      </c>
      <c r="D133" s="29">
        <v>50</v>
      </c>
      <c r="F133" s="34">
        <f t="shared" si="2"/>
        <v>-50</v>
      </c>
      <c r="G133" s="34" t="s">
        <v>12</v>
      </c>
      <c r="H133" s="34" t="str">
        <f>VLOOKUP(Transactions[[#This Row],[Sub-category]],TblDV45[#All],2)</f>
        <v>Dining Out</v>
      </c>
      <c r="I133" s="34" t="str">
        <f>VLOOKUP(Transactions[[#This Row],[Sub-category]],TblDV45[#All],3)</f>
        <v>Expense</v>
      </c>
    </row>
    <row r="134" spans="1:9" x14ac:dyDescent="0.3">
      <c r="A134" s="29" t="s">
        <v>59</v>
      </c>
      <c r="B134" s="33">
        <v>45011</v>
      </c>
      <c r="C134" s="29" t="s">
        <v>11</v>
      </c>
      <c r="D134" s="29">
        <v>50</v>
      </c>
      <c r="F134" s="34">
        <f t="shared" si="2"/>
        <v>-50</v>
      </c>
      <c r="G134" s="34" t="s">
        <v>12</v>
      </c>
      <c r="H134" s="34" t="str">
        <f>VLOOKUP(Transactions[[#This Row],[Sub-category]],TblDV45[#All],2)</f>
        <v>Dining Out</v>
      </c>
      <c r="I134" s="34" t="str">
        <f>VLOOKUP(Transactions[[#This Row],[Sub-category]],TblDV45[#All],3)</f>
        <v>Expense</v>
      </c>
    </row>
    <row r="135" spans="1:9" x14ac:dyDescent="0.3">
      <c r="A135" s="29" t="s">
        <v>59</v>
      </c>
      <c r="B135" s="33">
        <v>45011</v>
      </c>
      <c r="C135" s="29" t="s">
        <v>17</v>
      </c>
      <c r="D135" s="29">
        <v>209</v>
      </c>
      <c r="F135" s="34">
        <f t="shared" si="2"/>
        <v>-209</v>
      </c>
      <c r="G135" s="34" t="s">
        <v>18</v>
      </c>
      <c r="H135" s="34" t="str">
        <f>VLOOKUP(Transactions[[#This Row],[Sub-category]],TblDV45[#All],2)</f>
        <v>Living Expenses</v>
      </c>
      <c r="I135" s="34" t="str">
        <f>VLOOKUP(Transactions[[#This Row],[Sub-category]],TblDV45[#All],3)</f>
        <v>Expense</v>
      </c>
    </row>
    <row r="136" spans="1:9" x14ac:dyDescent="0.3">
      <c r="A136" s="29" t="s">
        <v>59</v>
      </c>
      <c r="B136" s="33">
        <v>45013</v>
      </c>
      <c r="C136" s="29" t="s">
        <v>46</v>
      </c>
      <c r="D136" s="29">
        <v>147.1</v>
      </c>
      <c r="F136" s="34">
        <f t="shared" si="2"/>
        <v>-147.1</v>
      </c>
      <c r="G136" s="34" t="s">
        <v>25</v>
      </c>
      <c r="H136" s="34" t="str">
        <f>VLOOKUP(Transactions[[#This Row],[Sub-category]],TblDV45[#All],2)</f>
        <v>Discretionary</v>
      </c>
      <c r="I136" s="34" t="str">
        <f>VLOOKUP(Transactions[[#This Row],[Sub-category]],TblDV45[#All],3)</f>
        <v>Expense</v>
      </c>
    </row>
    <row r="137" spans="1:9" x14ac:dyDescent="0.3">
      <c r="A137" s="29" t="s">
        <v>59</v>
      </c>
      <c r="B137" s="33">
        <v>45013</v>
      </c>
      <c r="C137" s="29" t="s">
        <v>27</v>
      </c>
      <c r="D137" s="29">
        <v>140</v>
      </c>
      <c r="F137" s="34">
        <f t="shared" si="2"/>
        <v>-140</v>
      </c>
      <c r="G137" s="34" t="s">
        <v>28</v>
      </c>
      <c r="H137" s="34" t="str">
        <f>VLOOKUP(Transactions[[#This Row],[Sub-category]],TblDV45[#All],2)</f>
        <v>Transport</v>
      </c>
      <c r="I137" s="34" t="str">
        <f>VLOOKUP(Transactions[[#This Row],[Sub-category]],TblDV45[#All],3)</f>
        <v>Expense</v>
      </c>
    </row>
    <row r="138" spans="1:9" x14ac:dyDescent="0.3">
      <c r="A138" s="29" t="s">
        <v>59</v>
      </c>
      <c r="B138" s="33">
        <v>45014</v>
      </c>
      <c r="C138" s="29" t="s">
        <v>43</v>
      </c>
      <c r="D138" s="29">
        <v>250</v>
      </c>
      <c r="F138" s="34">
        <f t="shared" si="2"/>
        <v>-250</v>
      </c>
      <c r="G138" s="34" t="s">
        <v>26</v>
      </c>
      <c r="H138" s="34" t="str">
        <f>VLOOKUP(Transactions[[#This Row],[Sub-category]],TblDV45[#All],2)</f>
        <v>Dining Out</v>
      </c>
      <c r="I138" s="34" t="str">
        <f>VLOOKUP(Transactions[[#This Row],[Sub-category]],TblDV45[#All],3)</f>
        <v>Expense</v>
      </c>
    </row>
    <row r="139" spans="1:9" x14ac:dyDescent="0.3">
      <c r="A139" s="29" t="s">
        <v>59</v>
      </c>
      <c r="B139" s="33">
        <v>45015</v>
      </c>
      <c r="C139" s="29" t="s">
        <v>11</v>
      </c>
      <c r="D139" s="29">
        <v>50</v>
      </c>
      <c r="F139" s="34">
        <f t="shared" si="2"/>
        <v>-50</v>
      </c>
      <c r="G139" s="34" t="s">
        <v>12</v>
      </c>
      <c r="H139" s="34" t="str">
        <f>VLOOKUP(Transactions[[#This Row],[Sub-category]],TblDV45[#All],2)</f>
        <v>Dining Out</v>
      </c>
      <c r="I139" s="34" t="str">
        <f>VLOOKUP(Transactions[[#This Row],[Sub-category]],TblDV45[#All],3)</f>
        <v>Expense</v>
      </c>
    </row>
    <row r="140" spans="1:9" x14ac:dyDescent="0.3">
      <c r="A140" s="29" t="s">
        <v>59</v>
      </c>
      <c r="B140" s="33">
        <v>45016</v>
      </c>
      <c r="C140" s="29" t="s">
        <v>11</v>
      </c>
      <c r="D140" s="29">
        <v>50</v>
      </c>
      <c r="F140" s="34">
        <f t="shared" si="2"/>
        <v>-50</v>
      </c>
      <c r="G140" s="34" t="s">
        <v>12</v>
      </c>
      <c r="H140" s="34" t="str">
        <f>VLOOKUP(Transactions[[#This Row],[Sub-category]],TblDV45[#All],2)</f>
        <v>Dining Out</v>
      </c>
      <c r="I140" s="34" t="str">
        <f>VLOOKUP(Transactions[[#This Row],[Sub-category]],TblDV45[#All],3)</f>
        <v>Expense</v>
      </c>
    </row>
    <row r="141" spans="1:9" x14ac:dyDescent="0.3">
      <c r="A141" s="29" t="s">
        <v>58</v>
      </c>
      <c r="B141" s="33">
        <v>45017</v>
      </c>
      <c r="C141" s="29" t="s">
        <v>9</v>
      </c>
      <c r="E141" s="29">
        <v>30000</v>
      </c>
      <c r="F141" s="34">
        <f t="shared" si="2"/>
        <v>30000</v>
      </c>
      <c r="G141" s="34" t="s">
        <v>10</v>
      </c>
      <c r="H141" s="34" t="str">
        <f>VLOOKUP(Transactions[[#This Row],[Sub-category]],TblDV45[#All],2)</f>
        <v>Salary</v>
      </c>
      <c r="I141" s="34" t="str">
        <f>VLOOKUP(Transactions[[#This Row],[Sub-category]],TblDV45[#All],3)</f>
        <v>Income</v>
      </c>
    </row>
    <row r="142" spans="1:9" x14ac:dyDescent="0.3">
      <c r="A142" s="29" t="s">
        <v>59</v>
      </c>
      <c r="B142" s="33">
        <v>45017</v>
      </c>
      <c r="C142" s="29" t="s">
        <v>11</v>
      </c>
      <c r="D142" s="29">
        <v>50</v>
      </c>
      <c r="F142" s="34">
        <f t="shared" si="2"/>
        <v>-50</v>
      </c>
      <c r="G142" s="34" t="s">
        <v>12</v>
      </c>
      <c r="H142" s="34" t="str">
        <f>VLOOKUP(Transactions[[#This Row],[Sub-category]],TblDV45[#All],2)</f>
        <v>Dining Out</v>
      </c>
      <c r="I142" s="34" t="str">
        <f>VLOOKUP(Transactions[[#This Row],[Sub-category]],TblDV45[#All],3)</f>
        <v>Expense</v>
      </c>
    </row>
    <row r="143" spans="1:9" x14ac:dyDescent="0.3">
      <c r="A143" s="29" t="s">
        <v>58</v>
      </c>
      <c r="B143" s="33">
        <v>45018</v>
      </c>
      <c r="C143" s="29" t="s">
        <v>13</v>
      </c>
      <c r="D143" s="29">
        <v>6000</v>
      </c>
      <c r="F143" s="34">
        <f t="shared" si="2"/>
        <v>-6000</v>
      </c>
      <c r="G143" s="34" t="s">
        <v>14</v>
      </c>
      <c r="H143" s="34" t="str">
        <f>VLOOKUP(Transactions[[#This Row],[Sub-category]],TblDV45[#All],2)</f>
        <v>Living Expenses</v>
      </c>
      <c r="I143" s="34" t="str">
        <f>VLOOKUP(Transactions[[#This Row],[Sub-category]],TblDV45[#All],3)</f>
        <v>Expense</v>
      </c>
    </row>
    <row r="144" spans="1:9" x14ac:dyDescent="0.3">
      <c r="A144" s="29" t="s">
        <v>58</v>
      </c>
      <c r="B144" s="33">
        <v>45018</v>
      </c>
      <c r="C144" s="29" t="s">
        <v>15</v>
      </c>
      <c r="D144" s="29">
        <v>2500</v>
      </c>
      <c r="F144" s="34">
        <f t="shared" si="2"/>
        <v>-2500</v>
      </c>
      <c r="G144" s="34" t="s">
        <v>16</v>
      </c>
      <c r="H144" s="34" t="str">
        <f>VLOOKUP(Transactions[[#This Row],[Sub-category]],TblDV45[#All],2)</f>
        <v>Transport</v>
      </c>
      <c r="I144" s="34" t="str">
        <f>VLOOKUP(Transactions[[#This Row],[Sub-category]],TblDV45[#All],3)</f>
        <v>Expense</v>
      </c>
    </row>
    <row r="145" spans="1:9" x14ac:dyDescent="0.3">
      <c r="A145" s="29" t="s">
        <v>59</v>
      </c>
      <c r="B145" s="33">
        <v>45018</v>
      </c>
      <c r="C145" s="29" t="s">
        <v>11</v>
      </c>
      <c r="D145" s="29">
        <v>50</v>
      </c>
      <c r="F145" s="34">
        <f t="shared" si="2"/>
        <v>-50</v>
      </c>
      <c r="G145" s="34" t="s">
        <v>12</v>
      </c>
      <c r="H145" s="34" t="str">
        <f>VLOOKUP(Transactions[[#This Row],[Sub-category]],TblDV45[#All],2)</f>
        <v>Dining Out</v>
      </c>
      <c r="I145" s="34" t="str">
        <f>VLOOKUP(Transactions[[#This Row],[Sub-category]],TblDV45[#All],3)</f>
        <v>Expense</v>
      </c>
    </row>
    <row r="146" spans="1:9" x14ac:dyDescent="0.3">
      <c r="A146" s="29" t="s">
        <v>59</v>
      </c>
      <c r="B146" s="33">
        <v>45019</v>
      </c>
      <c r="C146" s="29" t="s">
        <v>11</v>
      </c>
      <c r="D146" s="29">
        <v>50</v>
      </c>
      <c r="F146" s="34">
        <f t="shared" si="2"/>
        <v>-50</v>
      </c>
      <c r="G146" s="34" t="s">
        <v>12</v>
      </c>
      <c r="H146" s="34" t="str">
        <f>VLOOKUP(Transactions[[#This Row],[Sub-category]],TblDV45[#All],2)</f>
        <v>Dining Out</v>
      </c>
      <c r="I146" s="34" t="str">
        <f>VLOOKUP(Transactions[[#This Row],[Sub-category]],TblDV45[#All],3)</f>
        <v>Expense</v>
      </c>
    </row>
    <row r="147" spans="1:9" x14ac:dyDescent="0.3">
      <c r="A147" s="29" t="s">
        <v>59</v>
      </c>
      <c r="B147" s="33">
        <v>45020</v>
      </c>
      <c r="C147" s="29" t="s">
        <v>11</v>
      </c>
      <c r="D147" s="29">
        <v>50</v>
      </c>
      <c r="F147" s="34">
        <f t="shared" si="2"/>
        <v>-50</v>
      </c>
      <c r="G147" s="34" t="s">
        <v>12</v>
      </c>
      <c r="H147" s="34" t="str">
        <f>VLOOKUP(Transactions[[#This Row],[Sub-category]],TblDV45[#All],2)</f>
        <v>Dining Out</v>
      </c>
      <c r="I147" s="34" t="str">
        <f>VLOOKUP(Transactions[[#This Row],[Sub-category]],TblDV45[#All],3)</f>
        <v>Expense</v>
      </c>
    </row>
    <row r="148" spans="1:9" x14ac:dyDescent="0.3">
      <c r="A148" s="29" t="s">
        <v>59</v>
      </c>
      <c r="B148" s="33">
        <v>45021</v>
      </c>
      <c r="C148" s="29" t="s">
        <v>11</v>
      </c>
      <c r="D148" s="29">
        <v>50</v>
      </c>
      <c r="F148" s="34">
        <f t="shared" si="2"/>
        <v>-50</v>
      </c>
      <c r="G148" s="34" t="s">
        <v>12</v>
      </c>
      <c r="H148" s="34" t="str">
        <f>VLOOKUP(Transactions[[#This Row],[Sub-category]],TblDV45[#All],2)</f>
        <v>Dining Out</v>
      </c>
      <c r="I148" s="34" t="str">
        <f>VLOOKUP(Transactions[[#This Row],[Sub-category]],TblDV45[#All],3)</f>
        <v>Expense</v>
      </c>
    </row>
    <row r="149" spans="1:9" x14ac:dyDescent="0.3">
      <c r="A149" s="29" t="s">
        <v>59</v>
      </c>
      <c r="B149" s="33">
        <v>45021</v>
      </c>
      <c r="C149" s="29" t="s">
        <v>17</v>
      </c>
      <c r="D149" s="29">
        <v>158.19999999999999</v>
      </c>
      <c r="F149" s="34">
        <f t="shared" si="2"/>
        <v>-158.19999999999999</v>
      </c>
      <c r="G149" s="34" t="s">
        <v>18</v>
      </c>
      <c r="H149" s="34" t="str">
        <f>VLOOKUP(Transactions[[#This Row],[Sub-category]],TblDV45[#All],2)</f>
        <v>Living Expenses</v>
      </c>
      <c r="I149" s="34" t="str">
        <f>VLOOKUP(Transactions[[#This Row],[Sub-category]],TblDV45[#All],3)</f>
        <v>Expense</v>
      </c>
    </row>
    <row r="150" spans="1:9" x14ac:dyDescent="0.3">
      <c r="A150" s="29" t="s">
        <v>58</v>
      </c>
      <c r="B150" s="33">
        <v>45024</v>
      </c>
      <c r="C150" s="29" t="s">
        <v>19</v>
      </c>
      <c r="D150" s="29">
        <v>900</v>
      </c>
      <c r="F150" s="34">
        <f t="shared" si="2"/>
        <v>-900</v>
      </c>
      <c r="G150" s="34" t="s">
        <v>20</v>
      </c>
      <c r="H150" s="34" t="str">
        <f>VLOOKUP(Transactions[[#This Row],[Sub-category]],TblDV45[#All],2)</f>
        <v>Living Expenses</v>
      </c>
      <c r="I150" s="34" t="str">
        <f>VLOOKUP(Transactions[[#This Row],[Sub-category]],TblDV45[#All],3)</f>
        <v>Expense</v>
      </c>
    </row>
    <row r="151" spans="1:9" x14ac:dyDescent="0.3">
      <c r="A151" s="29" t="s">
        <v>59</v>
      </c>
      <c r="B151" s="33">
        <v>45024</v>
      </c>
      <c r="C151" s="29" t="s">
        <v>11</v>
      </c>
      <c r="D151" s="29">
        <v>50</v>
      </c>
      <c r="F151" s="34">
        <f t="shared" si="2"/>
        <v>-50</v>
      </c>
      <c r="G151" s="34" t="s">
        <v>12</v>
      </c>
      <c r="H151" s="34" t="str">
        <f>VLOOKUP(Transactions[[#This Row],[Sub-category]],TblDV45[#All],2)</f>
        <v>Dining Out</v>
      </c>
      <c r="I151" s="34" t="str">
        <f>VLOOKUP(Transactions[[#This Row],[Sub-category]],TblDV45[#All],3)</f>
        <v>Expense</v>
      </c>
    </row>
    <row r="152" spans="1:9" x14ac:dyDescent="0.3">
      <c r="A152" s="29" t="s">
        <v>59</v>
      </c>
      <c r="B152" s="33">
        <v>45025</v>
      </c>
      <c r="C152" s="29" t="s">
        <v>11</v>
      </c>
      <c r="D152" s="29">
        <v>50</v>
      </c>
      <c r="F152" s="34">
        <f t="shared" si="2"/>
        <v>-50</v>
      </c>
      <c r="G152" s="34" t="s">
        <v>12</v>
      </c>
      <c r="H152" s="34" t="str">
        <f>VLOOKUP(Transactions[[#This Row],[Sub-category]],TblDV45[#All],2)</f>
        <v>Dining Out</v>
      </c>
      <c r="I152" s="34" t="str">
        <f>VLOOKUP(Transactions[[#This Row],[Sub-category]],TblDV45[#All],3)</f>
        <v>Expense</v>
      </c>
    </row>
    <row r="153" spans="1:9" x14ac:dyDescent="0.3">
      <c r="A153" s="29" t="s">
        <v>59</v>
      </c>
      <c r="B153" s="33">
        <v>45026</v>
      </c>
      <c r="C153" s="29" t="s">
        <v>21</v>
      </c>
      <c r="D153" s="29">
        <v>300</v>
      </c>
      <c r="F153" s="34">
        <f t="shared" si="2"/>
        <v>-300</v>
      </c>
      <c r="G153" s="34" t="s">
        <v>22</v>
      </c>
      <c r="H153" s="34" t="str">
        <f>VLOOKUP(Transactions[[#This Row],[Sub-category]],TblDV45[#All],2)</f>
        <v>Transport</v>
      </c>
      <c r="I153" s="34" t="str">
        <f>VLOOKUP(Transactions[[#This Row],[Sub-category]],TblDV45[#All],3)</f>
        <v>Expense</v>
      </c>
    </row>
    <row r="154" spans="1:9" x14ac:dyDescent="0.3">
      <c r="A154" s="29" t="s">
        <v>59</v>
      </c>
      <c r="B154" s="33">
        <v>45026</v>
      </c>
      <c r="C154" s="29" t="s">
        <v>11</v>
      </c>
      <c r="D154" s="29">
        <v>50</v>
      </c>
      <c r="F154" s="34">
        <f t="shared" si="2"/>
        <v>-50</v>
      </c>
      <c r="G154" s="34" t="s">
        <v>12</v>
      </c>
      <c r="H154" s="34" t="str">
        <f>VLOOKUP(Transactions[[#This Row],[Sub-category]],TblDV45[#All],2)</f>
        <v>Dining Out</v>
      </c>
      <c r="I154" s="34" t="str">
        <f>VLOOKUP(Transactions[[#This Row],[Sub-category]],TblDV45[#All],3)</f>
        <v>Expense</v>
      </c>
    </row>
    <row r="155" spans="1:9" x14ac:dyDescent="0.3">
      <c r="A155" s="29" t="s">
        <v>59</v>
      </c>
      <c r="B155" s="33">
        <v>45027</v>
      </c>
      <c r="C155" s="29" t="s">
        <v>11</v>
      </c>
      <c r="D155" s="29">
        <v>50</v>
      </c>
      <c r="F155" s="34">
        <f t="shared" si="2"/>
        <v>-50</v>
      </c>
      <c r="G155" s="34" t="s">
        <v>12</v>
      </c>
      <c r="H155" s="34" t="str">
        <f>VLOOKUP(Transactions[[#This Row],[Sub-category]],TblDV45[#All],2)</f>
        <v>Dining Out</v>
      </c>
      <c r="I155" s="34" t="str">
        <f>VLOOKUP(Transactions[[#This Row],[Sub-category]],TblDV45[#All],3)</f>
        <v>Expense</v>
      </c>
    </row>
    <row r="156" spans="1:9" x14ac:dyDescent="0.3">
      <c r="A156" s="29" t="s">
        <v>59</v>
      </c>
      <c r="B156" s="33">
        <v>45028</v>
      </c>
      <c r="C156" s="29" t="s">
        <v>17</v>
      </c>
      <c r="D156" s="29">
        <v>98</v>
      </c>
      <c r="F156" s="34">
        <f t="shared" si="2"/>
        <v>-98</v>
      </c>
      <c r="G156" s="34" t="s">
        <v>18</v>
      </c>
      <c r="H156" s="34" t="str">
        <f>VLOOKUP(Transactions[[#This Row],[Sub-category]],TblDV45[#All],2)</f>
        <v>Living Expenses</v>
      </c>
      <c r="I156" s="34" t="str">
        <f>VLOOKUP(Transactions[[#This Row],[Sub-category]],TblDV45[#All],3)</f>
        <v>Expense</v>
      </c>
    </row>
    <row r="157" spans="1:9" x14ac:dyDescent="0.3">
      <c r="A157" s="29" t="s">
        <v>59</v>
      </c>
      <c r="B157" s="33">
        <v>45028</v>
      </c>
      <c r="C157" s="29" t="s">
        <v>11</v>
      </c>
      <c r="D157" s="29">
        <v>50</v>
      </c>
      <c r="F157" s="34">
        <f t="shared" si="2"/>
        <v>-50</v>
      </c>
      <c r="G157" s="34" t="s">
        <v>12</v>
      </c>
      <c r="H157" s="34" t="str">
        <f>VLOOKUP(Transactions[[#This Row],[Sub-category]],TblDV45[#All],2)</f>
        <v>Dining Out</v>
      </c>
      <c r="I157" s="34" t="str">
        <f>VLOOKUP(Transactions[[#This Row],[Sub-category]],TblDV45[#All],3)</f>
        <v>Expense</v>
      </c>
    </row>
    <row r="158" spans="1:9" x14ac:dyDescent="0.3">
      <c r="A158" s="29" t="s">
        <v>59</v>
      </c>
      <c r="B158" s="33">
        <v>45029</v>
      </c>
      <c r="C158" s="29" t="s">
        <v>11</v>
      </c>
      <c r="D158" s="29">
        <v>50</v>
      </c>
      <c r="F158" s="34">
        <f t="shared" si="2"/>
        <v>-50</v>
      </c>
      <c r="G158" s="34" t="s">
        <v>12</v>
      </c>
      <c r="H158" s="34" t="str">
        <f>VLOOKUP(Transactions[[#This Row],[Sub-category]],TblDV45[#All],2)</f>
        <v>Dining Out</v>
      </c>
      <c r="I158" s="34" t="str">
        <f>VLOOKUP(Transactions[[#This Row],[Sub-category]],TblDV45[#All],3)</f>
        <v>Expense</v>
      </c>
    </row>
    <row r="159" spans="1:9" x14ac:dyDescent="0.3">
      <c r="A159" s="29" t="s">
        <v>59</v>
      </c>
      <c r="B159" s="33">
        <v>45029</v>
      </c>
      <c r="C159" s="29" t="s">
        <v>23</v>
      </c>
      <c r="D159" s="29">
        <v>140</v>
      </c>
      <c r="F159" s="34">
        <f t="shared" si="2"/>
        <v>-140</v>
      </c>
      <c r="G159" s="34" t="s">
        <v>24</v>
      </c>
      <c r="H159" s="34" t="str">
        <f>VLOOKUP(Transactions[[#This Row],[Sub-category]],TblDV45[#All],2)</f>
        <v>Discretionary</v>
      </c>
      <c r="I159" s="34" t="str">
        <f>VLOOKUP(Transactions[[#This Row],[Sub-category]],TblDV45[#All],3)</f>
        <v>Expense</v>
      </c>
    </row>
    <row r="160" spans="1:9" x14ac:dyDescent="0.3">
      <c r="A160" s="29" t="s">
        <v>59</v>
      </c>
      <c r="B160" s="33">
        <v>45029</v>
      </c>
      <c r="C160" s="29" t="s">
        <v>46</v>
      </c>
      <c r="D160" s="29">
        <v>1000.9</v>
      </c>
      <c r="F160" s="34">
        <f t="shared" si="2"/>
        <v>-1000.9</v>
      </c>
      <c r="G160" s="34" t="s">
        <v>25</v>
      </c>
      <c r="H160" s="34" t="str">
        <f>VLOOKUP(Transactions[[#This Row],[Sub-category]],TblDV45[#All],2)</f>
        <v>Discretionary</v>
      </c>
      <c r="I160" s="34" t="str">
        <f>VLOOKUP(Transactions[[#This Row],[Sub-category]],TblDV45[#All],3)</f>
        <v>Expense</v>
      </c>
    </row>
    <row r="161" spans="1:9" x14ac:dyDescent="0.3">
      <c r="A161" s="29" t="s">
        <v>59</v>
      </c>
      <c r="B161" s="33">
        <v>45029</v>
      </c>
      <c r="C161" s="29" t="s">
        <v>48</v>
      </c>
      <c r="D161" s="29">
        <v>200</v>
      </c>
      <c r="F161" s="34">
        <f t="shared" si="2"/>
        <v>-200</v>
      </c>
      <c r="G161" s="34" t="s">
        <v>26</v>
      </c>
      <c r="H161" s="34" t="str">
        <f>VLOOKUP(Transactions[[#This Row],[Sub-category]],TblDV45[#All],2)</f>
        <v>Dining Out</v>
      </c>
      <c r="I161" s="34" t="str">
        <f>VLOOKUP(Transactions[[#This Row],[Sub-category]],TblDV45[#All],3)</f>
        <v>Expense</v>
      </c>
    </row>
    <row r="162" spans="1:9" x14ac:dyDescent="0.3">
      <c r="A162" s="29" t="s">
        <v>59</v>
      </c>
      <c r="B162" s="33">
        <v>45030</v>
      </c>
      <c r="C162" s="29" t="s">
        <v>27</v>
      </c>
      <c r="D162" s="29">
        <v>120</v>
      </c>
      <c r="F162" s="34">
        <f t="shared" si="2"/>
        <v>-120</v>
      </c>
      <c r="G162" s="34" t="s">
        <v>28</v>
      </c>
      <c r="H162" s="34" t="str">
        <f>VLOOKUP(Transactions[[#This Row],[Sub-category]],TblDV45[#All],2)</f>
        <v>Transport</v>
      </c>
      <c r="I162" s="34" t="str">
        <f>VLOOKUP(Transactions[[#This Row],[Sub-category]],TblDV45[#All],3)</f>
        <v>Expense</v>
      </c>
    </row>
    <row r="163" spans="1:9" x14ac:dyDescent="0.3">
      <c r="A163" s="29" t="s">
        <v>58</v>
      </c>
      <c r="B163" s="33">
        <v>45031</v>
      </c>
      <c r="C163" s="29" t="s">
        <v>29</v>
      </c>
      <c r="D163" s="29">
        <v>300</v>
      </c>
      <c r="F163" s="34">
        <f t="shared" si="2"/>
        <v>-300</v>
      </c>
      <c r="G163" s="34" t="s">
        <v>30</v>
      </c>
      <c r="H163" s="34" t="str">
        <f>VLOOKUP(Transactions[[#This Row],[Sub-category]],TblDV45[#All],2)</f>
        <v>Discretionary</v>
      </c>
      <c r="I163" s="34" t="str">
        <f>VLOOKUP(Transactions[[#This Row],[Sub-category]],TblDV45[#All],3)</f>
        <v>Expense</v>
      </c>
    </row>
    <row r="164" spans="1:9" x14ac:dyDescent="0.3">
      <c r="A164" s="29" t="s">
        <v>59</v>
      </c>
      <c r="B164" s="33">
        <v>45031</v>
      </c>
      <c r="C164" s="29" t="s">
        <v>11</v>
      </c>
      <c r="D164" s="29">
        <v>50</v>
      </c>
      <c r="F164" s="34">
        <f t="shared" si="2"/>
        <v>-50</v>
      </c>
      <c r="G164" s="34" t="s">
        <v>12</v>
      </c>
      <c r="H164" s="34" t="str">
        <f>VLOOKUP(Transactions[[#This Row],[Sub-category]],TblDV45[#All],2)</f>
        <v>Dining Out</v>
      </c>
      <c r="I164" s="34" t="str">
        <f>VLOOKUP(Transactions[[#This Row],[Sub-category]],TblDV45[#All],3)</f>
        <v>Expense</v>
      </c>
    </row>
    <row r="165" spans="1:9" x14ac:dyDescent="0.3">
      <c r="A165" s="29" t="s">
        <v>59</v>
      </c>
      <c r="B165" s="33">
        <v>45032</v>
      </c>
      <c r="C165" s="29" t="s">
        <v>11</v>
      </c>
      <c r="D165" s="29">
        <v>50</v>
      </c>
      <c r="F165" s="34">
        <f t="shared" si="2"/>
        <v>-50</v>
      </c>
      <c r="G165" s="34" t="s">
        <v>12</v>
      </c>
      <c r="H165" s="34" t="str">
        <f>VLOOKUP(Transactions[[#This Row],[Sub-category]],TblDV45[#All],2)</f>
        <v>Dining Out</v>
      </c>
      <c r="I165" s="34" t="str">
        <f>VLOOKUP(Transactions[[#This Row],[Sub-category]],TblDV45[#All],3)</f>
        <v>Expense</v>
      </c>
    </row>
    <row r="166" spans="1:9" x14ac:dyDescent="0.3">
      <c r="A166" s="29" t="s">
        <v>58</v>
      </c>
      <c r="B166" s="33">
        <v>45032</v>
      </c>
      <c r="C166" s="29" t="s">
        <v>47</v>
      </c>
      <c r="D166" s="29">
        <v>699</v>
      </c>
      <c r="F166" s="34">
        <f t="shared" si="2"/>
        <v>-699</v>
      </c>
      <c r="G166" s="34" t="s">
        <v>33</v>
      </c>
      <c r="H166" s="34" t="str">
        <f>VLOOKUP(Transactions[[#This Row],[Sub-category]],TblDV45[#All],2)</f>
        <v>Living Expenses</v>
      </c>
      <c r="I166" s="34" t="str">
        <f>VLOOKUP(Transactions[[#This Row],[Sub-category]],TblDV45[#All],3)</f>
        <v>Expense</v>
      </c>
    </row>
    <row r="167" spans="1:9" x14ac:dyDescent="0.3">
      <c r="A167" s="29" t="s">
        <v>59</v>
      </c>
      <c r="B167" s="33">
        <v>45033</v>
      </c>
      <c r="C167" s="29" t="s">
        <v>34</v>
      </c>
      <c r="D167" s="29">
        <v>500</v>
      </c>
      <c r="F167" s="34">
        <f t="shared" si="2"/>
        <v>-500</v>
      </c>
      <c r="G167" s="34" t="s">
        <v>34</v>
      </c>
      <c r="H167" s="34" t="str">
        <f>VLOOKUP(Transactions[[#This Row],[Sub-category]],TblDV45[#All],2)</f>
        <v>Discretionary</v>
      </c>
      <c r="I167" s="34" t="str">
        <f>VLOOKUP(Transactions[[#This Row],[Sub-category]],TblDV45[#All],3)</f>
        <v>Expense</v>
      </c>
    </row>
    <row r="168" spans="1:9" x14ac:dyDescent="0.3">
      <c r="A168" s="29" t="s">
        <v>59</v>
      </c>
      <c r="B168" s="33">
        <v>45033</v>
      </c>
      <c r="C168" s="29" t="s">
        <v>35</v>
      </c>
      <c r="D168" s="29">
        <v>500</v>
      </c>
      <c r="F168" s="34">
        <f t="shared" si="2"/>
        <v>-500</v>
      </c>
      <c r="G168" s="34" t="s">
        <v>24</v>
      </c>
      <c r="H168" s="34" t="str">
        <f>VLOOKUP(Transactions[[#This Row],[Sub-category]],TblDV45[#All],2)</f>
        <v>Discretionary</v>
      </c>
      <c r="I168" s="34" t="str">
        <f>VLOOKUP(Transactions[[#This Row],[Sub-category]],TblDV45[#All],3)</f>
        <v>Expense</v>
      </c>
    </row>
    <row r="169" spans="1:9" x14ac:dyDescent="0.3">
      <c r="A169" s="29" t="s">
        <v>59</v>
      </c>
      <c r="B169" s="33">
        <v>45033</v>
      </c>
      <c r="C169" s="29" t="s">
        <v>11</v>
      </c>
      <c r="D169" s="29">
        <v>50</v>
      </c>
      <c r="F169" s="34">
        <f t="shared" si="2"/>
        <v>-50</v>
      </c>
      <c r="G169" s="34" t="s">
        <v>12</v>
      </c>
      <c r="H169" s="34" t="str">
        <f>VLOOKUP(Transactions[[#This Row],[Sub-category]],TblDV45[#All],2)</f>
        <v>Dining Out</v>
      </c>
      <c r="I169" s="34" t="str">
        <f>VLOOKUP(Transactions[[#This Row],[Sub-category]],TblDV45[#All],3)</f>
        <v>Expense</v>
      </c>
    </row>
    <row r="170" spans="1:9" x14ac:dyDescent="0.3">
      <c r="A170" s="29" t="s">
        <v>59</v>
      </c>
      <c r="B170" s="33">
        <v>45034</v>
      </c>
      <c r="C170" s="29" t="s">
        <v>11</v>
      </c>
      <c r="D170" s="29">
        <v>50</v>
      </c>
      <c r="F170" s="34">
        <f t="shared" si="2"/>
        <v>-50</v>
      </c>
      <c r="G170" s="34" t="s">
        <v>12</v>
      </c>
      <c r="H170" s="34" t="str">
        <f>VLOOKUP(Transactions[[#This Row],[Sub-category]],TblDV45[#All],2)</f>
        <v>Dining Out</v>
      </c>
      <c r="I170" s="34" t="str">
        <f>VLOOKUP(Transactions[[#This Row],[Sub-category]],TblDV45[#All],3)</f>
        <v>Expense</v>
      </c>
    </row>
    <row r="171" spans="1:9" x14ac:dyDescent="0.3">
      <c r="A171" s="29" t="s">
        <v>59</v>
      </c>
      <c r="B171" s="33">
        <v>45035</v>
      </c>
      <c r="C171" s="29" t="s">
        <v>11</v>
      </c>
      <c r="D171" s="29">
        <v>50</v>
      </c>
      <c r="F171" s="34">
        <f t="shared" si="2"/>
        <v>-50</v>
      </c>
      <c r="G171" s="34" t="s">
        <v>12</v>
      </c>
      <c r="H171" s="34" t="str">
        <f>VLOOKUP(Transactions[[#This Row],[Sub-category]],TblDV45[#All],2)</f>
        <v>Dining Out</v>
      </c>
      <c r="I171" s="34" t="str">
        <f>VLOOKUP(Transactions[[#This Row],[Sub-category]],TblDV45[#All],3)</f>
        <v>Expense</v>
      </c>
    </row>
    <row r="172" spans="1:9" x14ac:dyDescent="0.3">
      <c r="A172" s="29" t="s">
        <v>59</v>
      </c>
      <c r="B172" s="33">
        <v>45035</v>
      </c>
      <c r="C172" s="29" t="s">
        <v>17</v>
      </c>
      <c r="D172" s="29">
        <v>173</v>
      </c>
      <c r="F172" s="34">
        <f t="shared" si="2"/>
        <v>-173</v>
      </c>
      <c r="G172" s="34" t="s">
        <v>18</v>
      </c>
      <c r="H172" s="34" t="str">
        <f>VLOOKUP(Transactions[[#This Row],[Sub-category]],TblDV45[#All],2)</f>
        <v>Living Expenses</v>
      </c>
      <c r="I172" s="34" t="str">
        <f>VLOOKUP(Transactions[[#This Row],[Sub-category]],TblDV45[#All],3)</f>
        <v>Expense</v>
      </c>
    </row>
    <row r="173" spans="1:9" x14ac:dyDescent="0.3">
      <c r="A173" s="29" t="s">
        <v>59</v>
      </c>
      <c r="B173" s="33">
        <v>45036</v>
      </c>
      <c r="C173" s="29" t="s">
        <v>60</v>
      </c>
      <c r="D173" s="29">
        <v>599</v>
      </c>
      <c r="F173" s="34">
        <f t="shared" si="2"/>
        <v>-599</v>
      </c>
      <c r="G173" s="34" t="s">
        <v>26</v>
      </c>
      <c r="H173" s="34" t="str">
        <f>VLOOKUP(Transactions[[#This Row],[Sub-category]],TblDV45[#All],2)</f>
        <v>Dining Out</v>
      </c>
      <c r="I173" s="34" t="str">
        <f>VLOOKUP(Transactions[[#This Row],[Sub-category]],TblDV45[#All],3)</f>
        <v>Expense</v>
      </c>
    </row>
    <row r="174" spans="1:9" x14ac:dyDescent="0.3">
      <c r="A174" s="29" t="s">
        <v>59</v>
      </c>
      <c r="B174" s="33">
        <v>45037</v>
      </c>
      <c r="C174" s="29" t="s">
        <v>36</v>
      </c>
      <c r="D174" s="29">
        <v>15.1</v>
      </c>
      <c r="F174" s="34">
        <f t="shared" si="2"/>
        <v>-15.1</v>
      </c>
      <c r="G174" s="34" t="s">
        <v>26</v>
      </c>
      <c r="H174" s="34" t="str">
        <f>VLOOKUP(Transactions[[#This Row],[Sub-category]],TblDV45[#All],2)</f>
        <v>Dining Out</v>
      </c>
      <c r="I174" s="34" t="str">
        <f>VLOOKUP(Transactions[[#This Row],[Sub-category]],TblDV45[#All],3)</f>
        <v>Expense</v>
      </c>
    </row>
    <row r="175" spans="1:9" x14ac:dyDescent="0.3">
      <c r="A175" s="29" t="s">
        <v>58</v>
      </c>
      <c r="B175" s="33">
        <v>45038</v>
      </c>
      <c r="C175" s="29" t="s">
        <v>37</v>
      </c>
      <c r="D175" s="29">
        <v>551</v>
      </c>
      <c r="F175" s="34">
        <f t="shared" si="2"/>
        <v>-551</v>
      </c>
      <c r="G175" s="34" t="s">
        <v>38</v>
      </c>
      <c r="H175" s="34" t="str">
        <f>VLOOKUP(Transactions[[#This Row],[Sub-category]],TblDV45[#All],2)</f>
        <v>Charity</v>
      </c>
      <c r="I175" s="34" t="str">
        <f>VLOOKUP(Transactions[[#This Row],[Sub-category]],TblDV45[#All],3)</f>
        <v>Expense</v>
      </c>
    </row>
    <row r="176" spans="1:9" x14ac:dyDescent="0.3">
      <c r="A176" s="29" t="s">
        <v>59</v>
      </c>
      <c r="B176" s="33">
        <v>45038</v>
      </c>
      <c r="C176" s="29" t="s">
        <v>21</v>
      </c>
      <c r="D176" s="29">
        <v>300</v>
      </c>
      <c r="F176" s="34">
        <f t="shared" si="2"/>
        <v>-300</v>
      </c>
      <c r="G176" s="34" t="s">
        <v>22</v>
      </c>
      <c r="H176" s="34" t="str">
        <f>VLOOKUP(Transactions[[#This Row],[Sub-category]],TblDV45[#All],2)</f>
        <v>Transport</v>
      </c>
      <c r="I176" s="34" t="str">
        <f>VLOOKUP(Transactions[[#This Row],[Sub-category]],TblDV45[#All],3)</f>
        <v>Expense</v>
      </c>
    </row>
    <row r="177" spans="1:9" x14ac:dyDescent="0.3">
      <c r="A177" s="29" t="s">
        <v>59</v>
      </c>
      <c r="B177" s="33">
        <v>45038</v>
      </c>
      <c r="C177" s="29" t="s">
        <v>11</v>
      </c>
      <c r="D177" s="29">
        <v>50</v>
      </c>
      <c r="F177" s="34">
        <f t="shared" si="2"/>
        <v>-50</v>
      </c>
      <c r="G177" s="34" t="s">
        <v>12</v>
      </c>
      <c r="H177" s="34" t="str">
        <f>VLOOKUP(Transactions[[#This Row],[Sub-category]],TblDV45[#All],2)</f>
        <v>Dining Out</v>
      </c>
      <c r="I177" s="34" t="str">
        <f>VLOOKUP(Transactions[[#This Row],[Sub-category]],TblDV45[#All],3)</f>
        <v>Expense</v>
      </c>
    </row>
    <row r="178" spans="1:9" x14ac:dyDescent="0.3">
      <c r="A178" s="29" t="s">
        <v>59</v>
      </c>
      <c r="B178" s="33">
        <v>45039</v>
      </c>
      <c r="C178" s="29" t="s">
        <v>11</v>
      </c>
      <c r="D178" s="29">
        <v>50</v>
      </c>
      <c r="F178" s="34">
        <f t="shared" si="2"/>
        <v>-50</v>
      </c>
      <c r="G178" s="34" t="s">
        <v>12</v>
      </c>
      <c r="H178" s="34" t="str">
        <f>VLOOKUP(Transactions[[#This Row],[Sub-category]],TblDV45[#All],2)</f>
        <v>Dining Out</v>
      </c>
      <c r="I178" s="34" t="str">
        <f>VLOOKUP(Transactions[[#This Row],[Sub-category]],TblDV45[#All],3)</f>
        <v>Expense</v>
      </c>
    </row>
    <row r="179" spans="1:9" x14ac:dyDescent="0.3">
      <c r="A179" s="29" t="s">
        <v>59</v>
      </c>
      <c r="B179" s="33">
        <v>45040</v>
      </c>
      <c r="C179" s="29" t="s">
        <v>11</v>
      </c>
      <c r="D179" s="29">
        <v>50</v>
      </c>
      <c r="F179" s="34">
        <f t="shared" si="2"/>
        <v>-50</v>
      </c>
      <c r="G179" s="34" t="s">
        <v>12</v>
      </c>
      <c r="H179" s="34" t="str">
        <f>VLOOKUP(Transactions[[#This Row],[Sub-category]],TblDV45[#All],2)</f>
        <v>Dining Out</v>
      </c>
      <c r="I179" s="34" t="str">
        <f>VLOOKUP(Transactions[[#This Row],[Sub-category]],TblDV45[#All],3)</f>
        <v>Expense</v>
      </c>
    </row>
    <row r="180" spans="1:9" x14ac:dyDescent="0.3">
      <c r="A180" s="29" t="s">
        <v>59</v>
      </c>
      <c r="B180" s="33">
        <v>45041</v>
      </c>
      <c r="C180" s="29" t="s">
        <v>11</v>
      </c>
      <c r="D180" s="29">
        <v>50</v>
      </c>
      <c r="F180" s="34">
        <f t="shared" si="2"/>
        <v>-50</v>
      </c>
      <c r="G180" s="34" t="s">
        <v>12</v>
      </c>
      <c r="H180" s="34" t="str">
        <f>VLOOKUP(Transactions[[#This Row],[Sub-category]],TblDV45[#All],2)</f>
        <v>Dining Out</v>
      </c>
      <c r="I180" s="34" t="str">
        <f>VLOOKUP(Transactions[[#This Row],[Sub-category]],TblDV45[#All],3)</f>
        <v>Expense</v>
      </c>
    </row>
    <row r="181" spans="1:9" x14ac:dyDescent="0.3">
      <c r="A181" s="29" t="s">
        <v>59</v>
      </c>
      <c r="B181" s="33">
        <v>45042</v>
      </c>
      <c r="C181" s="29" t="s">
        <v>11</v>
      </c>
      <c r="D181" s="29">
        <v>50</v>
      </c>
      <c r="F181" s="34">
        <f t="shared" si="2"/>
        <v>-50</v>
      </c>
      <c r="G181" s="34" t="s">
        <v>12</v>
      </c>
      <c r="H181" s="34" t="str">
        <f>VLOOKUP(Transactions[[#This Row],[Sub-category]],TblDV45[#All],2)</f>
        <v>Dining Out</v>
      </c>
      <c r="I181" s="34" t="str">
        <f>VLOOKUP(Transactions[[#This Row],[Sub-category]],TblDV45[#All],3)</f>
        <v>Expense</v>
      </c>
    </row>
    <row r="182" spans="1:9" x14ac:dyDescent="0.3">
      <c r="A182" s="29" t="s">
        <v>59</v>
      </c>
      <c r="B182" s="33">
        <v>45042</v>
      </c>
      <c r="C182" s="29" t="s">
        <v>17</v>
      </c>
      <c r="D182" s="29">
        <v>164.9</v>
      </c>
      <c r="F182" s="34">
        <f t="shared" si="2"/>
        <v>-164.9</v>
      </c>
      <c r="G182" s="34" t="s">
        <v>18</v>
      </c>
      <c r="H182" s="34" t="str">
        <f>VLOOKUP(Transactions[[#This Row],[Sub-category]],TblDV45[#All],2)</f>
        <v>Living Expenses</v>
      </c>
      <c r="I182" s="34" t="str">
        <f>VLOOKUP(Transactions[[#This Row],[Sub-category]],TblDV45[#All],3)</f>
        <v>Expense</v>
      </c>
    </row>
    <row r="183" spans="1:9" x14ac:dyDescent="0.3">
      <c r="A183" s="29" t="s">
        <v>59</v>
      </c>
      <c r="B183" s="33">
        <v>45044</v>
      </c>
      <c r="C183" s="29" t="s">
        <v>46</v>
      </c>
      <c r="D183" s="29">
        <v>948.1</v>
      </c>
      <c r="F183" s="34">
        <f t="shared" si="2"/>
        <v>-948.1</v>
      </c>
      <c r="G183" s="34" t="s">
        <v>25</v>
      </c>
      <c r="H183" s="34" t="str">
        <f>VLOOKUP(Transactions[[#This Row],[Sub-category]],TblDV45[#All],2)</f>
        <v>Discretionary</v>
      </c>
      <c r="I183" s="34" t="str">
        <f>VLOOKUP(Transactions[[#This Row],[Sub-category]],TblDV45[#All],3)</f>
        <v>Expense</v>
      </c>
    </row>
    <row r="184" spans="1:9" x14ac:dyDescent="0.3">
      <c r="A184" s="29" t="s">
        <v>59</v>
      </c>
      <c r="B184" s="33">
        <v>45044</v>
      </c>
      <c r="C184" s="29" t="s">
        <v>27</v>
      </c>
      <c r="D184" s="29">
        <v>120</v>
      </c>
      <c r="F184" s="34">
        <f t="shared" si="2"/>
        <v>-120</v>
      </c>
      <c r="G184" s="34" t="s">
        <v>28</v>
      </c>
      <c r="H184" s="34" t="str">
        <f>VLOOKUP(Transactions[[#This Row],[Sub-category]],TblDV45[#All],2)</f>
        <v>Transport</v>
      </c>
      <c r="I184" s="34" t="str">
        <f>VLOOKUP(Transactions[[#This Row],[Sub-category]],TblDV45[#All],3)</f>
        <v>Expense</v>
      </c>
    </row>
    <row r="185" spans="1:9" x14ac:dyDescent="0.3">
      <c r="A185" s="29" t="s">
        <v>59</v>
      </c>
      <c r="B185" s="33">
        <v>45045</v>
      </c>
      <c r="C185" s="29" t="s">
        <v>43</v>
      </c>
      <c r="D185" s="29">
        <v>250</v>
      </c>
      <c r="F185" s="34">
        <f t="shared" si="2"/>
        <v>-250</v>
      </c>
      <c r="G185" s="34" t="s">
        <v>26</v>
      </c>
      <c r="H185" s="34" t="str">
        <f>VLOOKUP(Transactions[[#This Row],[Sub-category]],TblDV45[#All],2)</f>
        <v>Dining Out</v>
      </c>
      <c r="I185" s="34" t="str">
        <f>VLOOKUP(Transactions[[#This Row],[Sub-category]],TblDV45[#All],3)</f>
        <v>Expense</v>
      </c>
    </row>
    <row r="186" spans="1:9" x14ac:dyDescent="0.3">
      <c r="A186" s="29" t="s">
        <v>59</v>
      </c>
      <c r="B186" s="33">
        <v>45045</v>
      </c>
      <c r="C186" s="29" t="s">
        <v>11</v>
      </c>
      <c r="D186" s="29">
        <v>50</v>
      </c>
      <c r="F186" s="34">
        <f t="shared" si="2"/>
        <v>-50</v>
      </c>
      <c r="G186" s="34" t="s">
        <v>12</v>
      </c>
      <c r="H186" s="34" t="str">
        <f>VLOOKUP(Transactions[[#This Row],[Sub-category]],TblDV45[#All],2)</f>
        <v>Dining Out</v>
      </c>
      <c r="I186" s="34" t="str">
        <f>VLOOKUP(Transactions[[#This Row],[Sub-category]],TblDV45[#All],3)</f>
        <v>Expense</v>
      </c>
    </row>
    <row r="187" spans="1:9" x14ac:dyDescent="0.3">
      <c r="A187" s="29" t="s">
        <v>59</v>
      </c>
      <c r="B187" s="33">
        <v>45046</v>
      </c>
      <c r="C187" s="29" t="s">
        <v>11</v>
      </c>
      <c r="D187" s="29">
        <v>50</v>
      </c>
      <c r="F187" s="34">
        <f t="shared" si="2"/>
        <v>-50</v>
      </c>
      <c r="G187" s="34" t="s">
        <v>12</v>
      </c>
      <c r="H187" s="34" t="str">
        <f>VLOOKUP(Transactions[[#This Row],[Sub-category]],TblDV45[#All],2)</f>
        <v>Dining Out</v>
      </c>
      <c r="I187" s="34" t="str">
        <f>VLOOKUP(Transactions[[#This Row],[Sub-category]],TblDV45[#All],3)</f>
        <v>Expense</v>
      </c>
    </row>
    <row r="188" spans="1:9" x14ac:dyDescent="0.3">
      <c r="A188" s="29" t="s">
        <v>59</v>
      </c>
      <c r="B188" s="33">
        <v>45048</v>
      </c>
      <c r="C188" s="29" t="s">
        <v>11</v>
      </c>
      <c r="D188" s="29">
        <v>50</v>
      </c>
      <c r="F188" s="34">
        <f t="shared" ref="F188:F250" si="3">E188-D188</f>
        <v>-50</v>
      </c>
      <c r="G188" s="34" t="s">
        <v>12</v>
      </c>
      <c r="H188" s="34" t="str">
        <f>VLOOKUP(Transactions[[#This Row],[Sub-category]],TblDV45[#All],2)</f>
        <v>Dining Out</v>
      </c>
      <c r="I188" s="34" t="str">
        <f>VLOOKUP(Transactions[[#This Row],[Sub-category]],TblDV45[#All],3)</f>
        <v>Expense</v>
      </c>
    </row>
    <row r="189" spans="1:9" x14ac:dyDescent="0.3">
      <c r="A189" s="29" t="s">
        <v>58</v>
      </c>
      <c r="B189" s="33">
        <v>45049</v>
      </c>
      <c r="C189" s="29" t="s">
        <v>9</v>
      </c>
      <c r="E189" s="29">
        <v>30000</v>
      </c>
      <c r="F189" s="34">
        <f t="shared" si="3"/>
        <v>30000</v>
      </c>
      <c r="G189" s="34" t="s">
        <v>10</v>
      </c>
      <c r="H189" s="34" t="str">
        <f>VLOOKUP(Transactions[[#This Row],[Sub-category]],TblDV45[#All],2)</f>
        <v>Salary</v>
      </c>
      <c r="I189" s="34" t="str">
        <f>VLOOKUP(Transactions[[#This Row],[Sub-category]],TblDV45[#All],3)</f>
        <v>Income</v>
      </c>
    </row>
    <row r="190" spans="1:9" x14ac:dyDescent="0.3">
      <c r="A190" s="29" t="s">
        <v>58</v>
      </c>
      <c r="B190" s="33">
        <v>45049</v>
      </c>
      <c r="C190" s="29" t="s">
        <v>13</v>
      </c>
      <c r="D190" s="29">
        <v>6000</v>
      </c>
      <c r="F190" s="34">
        <f t="shared" si="3"/>
        <v>-6000</v>
      </c>
      <c r="G190" s="34" t="s">
        <v>14</v>
      </c>
      <c r="H190" s="34" t="str">
        <f>VLOOKUP(Transactions[[#This Row],[Sub-category]],TblDV45[#All],2)</f>
        <v>Living Expenses</v>
      </c>
      <c r="I190" s="34" t="str">
        <f>VLOOKUP(Transactions[[#This Row],[Sub-category]],TblDV45[#All],3)</f>
        <v>Expense</v>
      </c>
    </row>
    <row r="191" spans="1:9" x14ac:dyDescent="0.3">
      <c r="A191" s="29" t="s">
        <v>58</v>
      </c>
      <c r="B191" s="33">
        <v>45049</v>
      </c>
      <c r="C191" s="29" t="s">
        <v>15</v>
      </c>
      <c r="D191" s="29">
        <v>2500</v>
      </c>
      <c r="F191" s="34">
        <f t="shared" si="3"/>
        <v>-2500</v>
      </c>
      <c r="G191" s="34" t="s">
        <v>16</v>
      </c>
      <c r="H191" s="34" t="str">
        <f>VLOOKUP(Transactions[[#This Row],[Sub-category]],TblDV45[#All],2)</f>
        <v>Transport</v>
      </c>
      <c r="I191" s="34" t="str">
        <f>VLOOKUP(Transactions[[#This Row],[Sub-category]],TblDV45[#All],3)</f>
        <v>Expense</v>
      </c>
    </row>
    <row r="192" spans="1:9" x14ac:dyDescent="0.3">
      <c r="A192" s="29" t="s">
        <v>59</v>
      </c>
      <c r="B192" s="33">
        <v>45049</v>
      </c>
      <c r="C192" s="29" t="s">
        <v>11</v>
      </c>
      <c r="D192" s="29">
        <v>50</v>
      </c>
      <c r="F192" s="34">
        <f t="shared" si="3"/>
        <v>-50</v>
      </c>
      <c r="G192" s="34" t="s">
        <v>12</v>
      </c>
      <c r="H192" s="34" t="str">
        <f>VLOOKUP(Transactions[[#This Row],[Sub-category]],TblDV45[#All],2)</f>
        <v>Dining Out</v>
      </c>
      <c r="I192" s="34" t="str">
        <f>VLOOKUP(Transactions[[#This Row],[Sub-category]],TblDV45[#All],3)</f>
        <v>Expense</v>
      </c>
    </row>
    <row r="193" spans="1:9" x14ac:dyDescent="0.3">
      <c r="A193" s="29" t="s">
        <v>59</v>
      </c>
      <c r="B193" s="33">
        <v>45050</v>
      </c>
      <c r="C193" s="29" t="s">
        <v>11</v>
      </c>
      <c r="D193" s="29">
        <v>50</v>
      </c>
      <c r="F193" s="34">
        <f t="shared" si="3"/>
        <v>-50</v>
      </c>
      <c r="G193" s="34" t="s">
        <v>12</v>
      </c>
      <c r="H193" s="34" t="str">
        <f>VLOOKUP(Transactions[[#This Row],[Sub-category]],TblDV45[#All],2)</f>
        <v>Dining Out</v>
      </c>
      <c r="I193" s="34" t="str">
        <f>VLOOKUP(Transactions[[#This Row],[Sub-category]],TblDV45[#All],3)</f>
        <v>Expense</v>
      </c>
    </row>
    <row r="194" spans="1:9" x14ac:dyDescent="0.3">
      <c r="A194" s="29" t="s">
        <v>59</v>
      </c>
      <c r="B194" s="33">
        <v>45051</v>
      </c>
      <c r="C194" s="29" t="s">
        <v>11</v>
      </c>
      <c r="D194" s="29">
        <v>50</v>
      </c>
      <c r="F194" s="34">
        <f t="shared" si="3"/>
        <v>-50</v>
      </c>
      <c r="G194" s="34" t="s">
        <v>12</v>
      </c>
      <c r="H194" s="34" t="str">
        <f>VLOOKUP(Transactions[[#This Row],[Sub-category]],TblDV45[#All],2)</f>
        <v>Dining Out</v>
      </c>
      <c r="I194" s="34" t="str">
        <f>VLOOKUP(Transactions[[#This Row],[Sub-category]],TblDV45[#All],3)</f>
        <v>Expense</v>
      </c>
    </row>
    <row r="195" spans="1:9" x14ac:dyDescent="0.3">
      <c r="A195" s="29" t="s">
        <v>59</v>
      </c>
      <c r="B195" s="33">
        <v>45052</v>
      </c>
      <c r="C195" s="29" t="s">
        <v>11</v>
      </c>
      <c r="D195" s="29">
        <v>50</v>
      </c>
      <c r="F195" s="34">
        <f t="shared" si="3"/>
        <v>-50</v>
      </c>
      <c r="G195" s="34" t="s">
        <v>12</v>
      </c>
      <c r="H195" s="34" t="str">
        <f>VLOOKUP(Transactions[[#This Row],[Sub-category]],TblDV45[#All],2)</f>
        <v>Dining Out</v>
      </c>
      <c r="I195" s="34" t="str">
        <f>VLOOKUP(Transactions[[#This Row],[Sub-category]],TblDV45[#All],3)</f>
        <v>Expense</v>
      </c>
    </row>
    <row r="196" spans="1:9" x14ac:dyDescent="0.3">
      <c r="A196" s="29" t="s">
        <v>59</v>
      </c>
      <c r="B196" s="33">
        <v>45052</v>
      </c>
      <c r="C196" s="29" t="s">
        <v>17</v>
      </c>
      <c r="D196" s="29">
        <v>170</v>
      </c>
      <c r="F196" s="34">
        <f t="shared" si="3"/>
        <v>-170</v>
      </c>
      <c r="G196" s="34" t="s">
        <v>18</v>
      </c>
      <c r="H196" s="34" t="str">
        <f>VLOOKUP(Transactions[[#This Row],[Sub-category]],TblDV45[#All],2)</f>
        <v>Living Expenses</v>
      </c>
      <c r="I196" s="34" t="str">
        <f>VLOOKUP(Transactions[[#This Row],[Sub-category]],TblDV45[#All],3)</f>
        <v>Expense</v>
      </c>
    </row>
    <row r="197" spans="1:9" x14ac:dyDescent="0.3">
      <c r="A197" s="29" t="s">
        <v>58</v>
      </c>
      <c r="B197" s="33">
        <v>45055</v>
      </c>
      <c r="C197" s="29" t="s">
        <v>19</v>
      </c>
      <c r="D197" s="29">
        <v>980</v>
      </c>
      <c r="F197" s="34">
        <f t="shared" si="3"/>
        <v>-980</v>
      </c>
      <c r="G197" s="34" t="s">
        <v>20</v>
      </c>
      <c r="H197" s="34" t="str">
        <f>VLOOKUP(Transactions[[#This Row],[Sub-category]],TblDV45[#All],2)</f>
        <v>Living Expenses</v>
      </c>
      <c r="I197" s="34" t="str">
        <f>VLOOKUP(Transactions[[#This Row],[Sub-category]],TblDV45[#All],3)</f>
        <v>Expense</v>
      </c>
    </row>
    <row r="198" spans="1:9" x14ac:dyDescent="0.3">
      <c r="A198" s="29" t="s">
        <v>59</v>
      </c>
      <c r="B198" s="33">
        <v>45055</v>
      </c>
      <c r="C198" s="29" t="s">
        <v>11</v>
      </c>
      <c r="D198" s="29">
        <v>50</v>
      </c>
      <c r="F198" s="34">
        <f t="shared" si="3"/>
        <v>-50</v>
      </c>
      <c r="G198" s="34" t="s">
        <v>12</v>
      </c>
      <c r="H198" s="34" t="str">
        <f>VLOOKUP(Transactions[[#This Row],[Sub-category]],TblDV45[#All],2)</f>
        <v>Dining Out</v>
      </c>
      <c r="I198" s="34" t="str">
        <f>VLOOKUP(Transactions[[#This Row],[Sub-category]],TblDV45[#All],3)</f>
        <v>Expense</v>
      </c>
    </row>
    <row r="199" spans="1:9" x14ac:dyDescent="0.3">
      <c r="A199" s="29" t="s">
        <v>59</v>
      </c>
      <c r="B199" s="33">
        <v>45056</v>
      </c>
      <c r="C199" s="29" t="s">
        <v>11</v>
      </c>
      <c r="D199" s="29">
        <v>50</v>
      </c>
      <c r="F199" s="34">
        <f t="shared" si="3"/>
        <v>-50</v>
      </c>
      <c r="G199" s="34" t="s">
        <v>12</v>
      </c>
      <c r="H199" s="34" t="str">
        <f>VLOOKUP(Transactions[[#This Row],[Sub-category]],TblDV45[#All],2)</f>
        <v>Dining Out</v>
      </c>
      <c r="I199" s="34" t="str">
        <f>VLOOKUP(Transactions[[#This Row],[Sub-category]],TblDV45[#All],3)</f>
        <v>Expense</v>
      </c>
    </row>
    <row r="200" spans="1:9" x14ac:dyDescent="0.3">
      <c r="A200" s="29" t="s">
        <v>59</v>
      </c>
      <c r="B200" s="33">
        <v>45057</v>
      </c>
      <c r="C200" s="29" t="s">
        <v>21</v>
      </c>
      <c r="D200" s="29">
        <v>300</v>
      </c>
      <c r="F200" s="34">
        <f t="shared" si="3"/>
        <v>-300</v>
      </c>
      <c r="G200" s="34" t="s">
        <v>22</v>
      </c>
      <c r="H200" s="34" t="str">
        <f>VLOOKUP(Transactions[[#This Row],[Sub-category]],TblDV45[#All],2)</f>
        <v>Transport</v>
      </c>
      <c r="I200" s="34" t="str">
        <f>VLOOKUP(Transactions[[#This Row],[Sub-category]],TblDV45[#All],3)</f>
        <v>Expense</v>
      </c>
    </row>
    <row r="201" spans="1:9" x14ac:dyDescent="0.3">
      <c r="A201" s="29" t="s">
        <v>59</v>
      </c>
      <c r="B201" s="33">
        <v>45057</v>
      </c>
      <c r="C201" s="29" t="s">
        <v>11</v>
      </c>
      <c r="D201" s="29">
        <v>50</v>
      </c>
      <c r="F201" s="34">
        <f t="shared" si="3"/>
        <v>-50</v>
      </c>
      <c r="G201" s="34" t="s">
        <v>12</v>
      </c>
      <c r="H201" s="34" t="str">
        <f>VLOOKUP(Transactions[[#This Row],[Sub-category]],TblDV45[#All],2)</f>
        <v>Dining Out</v>
      </c>
      <c r="I201" s="34" t="str">
        <f>VLOOKUP(Transactions[[#This Row],[Sub-category]],TblDV45[#All],3)</f>
        <v>Expense</v>
      </c>
    </row>
    <row r="202" spans="1:9" x14ac:dyDescent="0.3">
      <c r="A202" s="29" t="s">
        <v>59</v>
      </c>
      <c r="B202" s="33">
        <v>45058</v>
      </c>
      <c r="C202" s="29" t="s">
        <v>11</v>
      </c>
      <c r="D202" s="29">
        <v>50</v>
      </c>
      <c r="F202" s="34">
        <f t="shared" si="3"/>
        <v>-50</v>
      </c>
      <c r="G202" s="34" t="s">
        <v>12</v>
      </c>
      <c r="H202" s="34" t="str">
        <f>VLOOKUP(Transactions[[#This Row],[Sub-category]],TblDV45[#All],2)</f>
        <v>Dining Out</v>
      </c>
      <c r="I202" s="34" t="str">
        <f>VLOOKUP(Transactions[[#This Row],[Sub-category]],TblDV45[#All],3)</f>
        <v>Expense</v>
      </c>
    </row>
    <row r="203" spans="1:9" x14ac:dyDescent="0.3">
      <c r="A203" s="29" t="s">
        <v>59</v>
      </c>
      <c r="B203" s="33">
        <v>45059</v>
      </c>
      <c r="C203" s="29" t="s">
        <v>17</v>
      </c>
      <c r="D203" s="29">
        <v>139.1</v>
      </c>
      <c r="F203" s="34">
        <f t="shared" si="3"/>
        <v>-139.1</v>
      </c>
      <c r="G203" s="34" t="s">
        <v>18</v>
      </c>
      <c r="H203" s="34" t="str">
        <f>VLOOKUP(Transactions[[#This Row],[Sub-category]],TblDV45[#All],2)</f>
        <v>Living Expenses</v>
      </c>
      <c r="I203" s="34" t="str">
        <f>VLOOKUP(Transactions[[#This Row],[Sub-category]],TblDV45[#All],3)</f>
        <v>Expense</v>
      </c>
    </row>
    <row r="204" spans="1:9" x14ac:dyDescent="0.3">
      <c r="A204" s="29" t="s">
        <v>59</v>
      </c>
      <c r="B204" s="33">
        <v>45059</v>
      </c>
      <c r="C204" s="29" t="s">
        <v>11</v>
      </c>
      <c r="D204" s="29">
        <v>50</v>
      </c>
      <c r="F204" s="34">
        <f t="shared" si="3"/>
        <v>-50</v>
      </c>
      <c r="G204" s="34" t="s">
        <v>12</v>
      </c>
      <c r="H204" s="34" t="str">
        <f>VLOOKUP(Transactions[[#This Row],[Sub-category]],TblDV45[#All],2)</f>
        <v>Dining Out</v>
      </c>
      <c r="I204" s="34" t="str">
        <f>VLOOKUP(Transactions[[#This Row],[Sub-category]],TblDV45[#All],3)</f>
        <v>Expense</v>
      </c>
    </row>
    <row r="205" spans="1:9" x14ac:dyDescent="0.3">
      <c r="A205" s="29" t="s">
        <v>59</v>
      </c>
      <c r="B205" s="33">
        <v>45060</v>
      </c>
      <c r="C205" s="29" t="s">
        <v>11</v>
      </c>
      <c r="D205" s="29">
        <v>50</v>
      </c>
      <c r="F205" s="34">
        <f t="shared" si="3"/>
        <v>-50</v>
      </c>
      <c r="G205" s="34" t="s">
        <v>12</v>
      </c>
      <c r="H205" s="34" t="str">
        <f>VLOOKUP(Transactions[[#This Row],[Sub-category]],TblDV45[#All],2)</f>
        <v>Dining Out</v>
      </c>
      <c r="I205" s="34" t="str">
        <f>VLOOKUP(Transactions[[#This Row],[Sub-category]],TblDV45[#All],3)</f>
        <v>Expense</v>
      </c>
    </row>
    <row r="206" spans="1:9" x14ac:dyDescent="0.3">
      <c r="A206" s="29" t="s">
        <v>59</v>
      </c>
      <c r="B206" s="33">
        <v>45060</v>
      </c>
      <c r="C206" s="29" t="s">
        <v>23</v>
      </c>
      <c r="D206" s="29">
        <v>140</v>
      </c>
      <c r="F206" s="34">
        <f t="shared" si="3"/>
        <v>-140</v>
      </c>
      <c r="G206" s="34" t="s">
        <v>24</v>
      </c>
      <c r="H206" s="34" t="str">
        <f>VLOOKUP(Transactions[[#This Row],[Sub-category]],TblDV45[#All],2)</f>
        <v>Discretionary</v>
      </c>
      <c r="I206" s="34" t="str">
        <f>VLOOKUP(Transactions[[#This Row],[Sub-category]],TblDV45[#All],3)</f>
        <v>Expense</v>
      </c>
    </row>
    <row r="207" spans="1:9" x14ac:dyDescent="0.3">
      <c r="A207" s="29" t="s">
        <v>59</v>
      </c>
      <c r="B207" s="33">
        <v>45060</v>
      </c>
      <c r="C207" s="29" t="s">
        <v>46</v>
      </c>
      <c r="D207" s="29">
        <v>1012.8</v>
      </c>
      <c r="F207" s="34">
        <f t="shared" si="3"/>
        <v>-1012.8</v>
      </c>
      <c r="G207" s="34" t="s">
        <v>25</v>
      </c>
      <c r="H207" s="34" t="str">
        <f>VLOOKUP(Transactions[[#This Row],[Sub-category]],TblDV45[#All],2)</f>
        <v>Discretionary</v>
      </c>
      <c r="I207" s="34" t="str">
        <f>VLOOKUP(Transactions[[#This Row],[Sub-category]],TblDV45[#All],3)</f>
        <v>Expense</v>
      </c>
    </row>
    <row r="208" spans="1:9" x14ac:dyDescent="0.3">
      <c r="A208" s="29" t="s">
        <v>59</v>
      </c>
      <c r="B208" s="33">
        <v>45060</v>
      </c>
      <c r="C208" s="29" t="s">
        <v>48</v>
      </c>
      <c r="D208" s="29">
        <v>200</v>
      </c>
      <c r="F208" s="34">
        <f t="shared" si="3"/>
        <v>-200</v>
      </c>
      <c r="G208" s="34" t="s">
        <v>26</v>
      </c>
      <c r="H208" s="34" t="str">
        <f>VLOOKUP(Transactions[[#This Row],[Sub-category]],TblDV45[#All],2)</f>
        <v>Dining Out</v>
      </c>
      <c r="I208" s="34" t="str">
        <f>VLOOKUP(Transactions[[#This Row],[Sub-category]],TblDV45[#All],3)</f>
        <v>Expense</v>
      </c>
    </row>
    <row r="209" spans="1:9" x14ac:dyDescent="0.3">
      <c r="A209" s="29" t="s">
        <v>59</v>
      </c>
      <c r="B209" s="33">
        <v>45061</v>
      </c>
      <c r="C209" s="29" t="s">
        <v>27</v>
      </c>
      <c r="D209" s="29">
        <v>50</v>
      </c>
      <c r="F209" s="34">
        <f t="shared" si="3"/>
        <v>-50</v>
      </c>
      <c r="G209" s="34" t="s">
        <v>28</v>
      </c>
      <c r="H209" s="34" t="str">
        <f>VLOOKUP(Transactions[[#This Row],[Sub-category]],TblDV45[#All],2)</f>
        <v>Transport</v>
      </c>
      <c r="I209" s="34" t="str">
        <f>VLOOKUP(Transactions[[#This Row],[Sub-category]],TblDV45[#All],3)</f>
        <v>Expense</v>
      </c>
    </row>
    <row r="210" spans="1:9" x14ac:dyDescent="0.3">
      <c r="A210" s="29" t="s">
        <v>58</v>
      </c>
      <c r="B210" s="33">
        <v>45062</v>
      </c>
      <c r="C210" s="29" t="s">
        <v>29</v>
      </c>
      <c r="D210" s="29">
        <v>300</v>
      </c>
      <c r="F210" s="34">
        <f t="shared" si="3"/>
        <v>-300</v>
      </c>
      <c r="G210" s="34" t="s">
        <v>30</v>
      </c>
      <c r="H210" s="34" t="str">
        <f>VLOOKUP(Transactions[[#This Row],[Sub-category]],TblDV45[#All],2)</f>
        <v>Discretionary</v>
      </c>
      <c r="I210" s="34" t="str">
        <f>VLOOKUP(Transactions[[#This Row],[Sub-category]],TblDV45[#All],3)</f>
        <v>Expense</v>
      </c>
    </row>
    <row r="211" spans="1:9" x14ac:dyDescent="0.3">
      <c r="A211" s="29" t="s">
        <v>59</v>
      </c>
      <c r="B211" s="33">
        <v>45062</v>
      </c>
      <c r="C211" s="29" t="s">
        <v>11</v>
      </c>
      <c r="D211" s="29">
        <v>50</v>
      </c>
      <c r="F211" s="34">
        <f t="shared" si="3"/>
        <v>-50</v>
      </c>
      <c r="G211" s="34" t="s">
        <v>12</v>
      </c>
      <c r="H211" s="34" t="str">
        <f>VLOOKUP(Transactions[[#This Row],[Sub-category]],TblDV45[#All],2)</f>
        <v>Dining Out</v>
      </c>
      <c r="I211" s="34" t="str">
        <f>VLOOKUP(Transactions[[#This Row],[Sub-category]],TblDV45[#All],3)</f>
        <v>Expense</v>
      </c>
    </row>
    <row r="212" spans="1:9" x14ac:dyDescent="0.3">
      <c r="A212" s="29" t="s">
        <v>59</v>
      </c>
      <c r="B212" s="33">
        <v>45063</v>
      </c>
      <c r="C212" s="29" t="s">
        <v>11</v>
      </c>
      <c r="D212" s="29">
        <v>50</v>
      </c>
      <c r="F212" s="34">
        <f t="shared" si="3"/>
        <v>-50</v>
      </c>
      <c r="G212" s="34" t="s">
        <v>12</v>
      </c>
      <c r="H212" s="34" t="str">
        <f>VLOOKUP(Transactions[[#This Row],[Sub-category]],TblDV45[#All],2)</f>
        <v>Dining Out</v>
      </c>
      <c r="I212" s="34" t="str">
        <f>VLOOKUP(Transactions[[#This Row],[Sub-category]],TblDV45[#All],3)</f>
        <v>Expense</v>
      </c>
    </row>
    <row r="213" spans="1:9" x14ac:dyDescent="0.3">
      <c r="A213" s="29" t="s">
        <v>58</v>
      </c>
      <c r="B213" s="33">
        <v>45063</v>
      </c>
      <c r="C213" s="29" t="s">
        <v>41</v>
      </c>
      <c r="D213" s="29">
        <v>100</v>
      </c>
      <c r="F213" s="34">
        <f t="shared" si="3"/>
        <v>-100</v>
      </c>
      <c r="G213" s="34" t="s">
        <v>42</v>
      </c>
      <c r="H213" s="34" t="str">
        <f>VLOOKUP(Transactions[[#This Row],[Sub-category]],TblDV45[#All],2)</f>
        <v>Medical</v>
      </c>
      <c r="I213" s="34" t="str">
        <f>VLOOKUP(Transactions[[#This Row],[Sub-category]],TblDV45[#All],3)</f>
        <v>Expense</v>
      </c>
    </row>
    <row r="214" spans="1:9" x14ac:dyDescent="0.3">
      <c r="A214" s="29" t="s">
        <v>58</v>
      </c>
      <c r="B214" s="33">
        <v>45063</v>
      </c>
      <c r="C214" s="29" t="s">
        <v>47</v>
      </c>
      <c r="D214" s="29">
        <v>699</v>
      </c>
      <c r="F214" s="34">
        <f t="shared" si="3"/>
        <v>-699</v>
      </c>
      <c r="G214" s="34" t="s">
        <v>33</v>
      </c>
      <c r="H214" s="34" t="str">
        <f>VLOOKUP(Transactions[[#This Row],[Sub-category]],TblDV45[#All],2)</f>
        <v>Living Expenses</v>
      </c>
      <c r="I214" s="34" t="str">
        <f>VLOOKUP(Transactions[[#This Row],[Sub-category]],TblDV45[#All],3)</f>
        <v>Expense</v>
      </c>
    </row>
    <row r="215" spans="1:9" x14ac:dyDescent="0.3">
      <c r="A215" s="29" t="s">
        <v>59</v>
      </c>
      <c r="B215" s="33">
        <v>45064</v>
      </c>
      <c r="C215" s="29" t="s">
        <v>34</v>
      </c>
      <c r="D215" s="29">
        <v>500</v>
      </c>
      <c r="F215" s="34">
        <f t="shared" si="3"/>
        <v>-500</v>
      </c>
      <c r="G215" s="34" t="s">
        <v>34</v>
      </c>
      <c r="H215" s="34" t="str">
        <f>VLOOKUP(Transactions[[#This Row],[Sub-category]],TblDV45[#All],2)</f>
        <v>Discretionary</v>
      </c>
      <c r="I215" s="34" t="str">
        <f>VLOOKUP(Transactions[[#This Row],[Sub-category]],TblDV45[#All],3)</f>
        <v>Expense</v>
      </c>
    </row>
    <row r="216" spans="1:9" x14ac:dyDescent="0.3">
      <c r="A216" s="29" t="s">
        <v>59</v>
      </c>
      <c r="B216" s="33">
        <v>45064</v>
      </c>
      <c r="C216" s="29" t="s">
        <v>35</v>
      </c>
      <c r="D216" s="29">
        <v>500</v>
      </c>
      <c r="F216" s="34">
        <f t="shared" si="3"/>
        <v>-500</v>
      </c>
      <c r="G216" s="34" t="s">
        <v>24</v>
      </c>
      <c r="H216" s="34" t="str">
        <f>VLOOKUP(Transactions[[#This Row],[Sub-category]],TblDV45[#All],2)</f>
        <v>Discretionary</v>
      </c>
      <c r="I216" s="34" t="str">
        <f>VLOOKUP(Transactions[[#This Row],[Sub-category]],TblDV45[#All],3)</f>
        <v>Expense</v>
      </c>
    </row>
    <row r="217" spans="1:9" x14ac:dyDescent="0.3">
      <c r="A217" s="29" t="s">
        <v>59</v>
      </c>
      <c r="B217" s="33">
        <v>45064</v>
      </c>
      <c r="C217" s="29" t="s">
        <v>11</v>
      </c>
      <c r="D217" s="29">
        <v>50</v>
      </c>
      <c r="F217" s="34">
        <f t="shared" si="3"/>
        <v>-50</v>
      </c>
      <c r="G217" s="34" t="s">
        <v>12</v>
      </c>
      <c r="H217" s="34" t="str">
        <f>VLOOKUP(Transactions[[#This Row],[Sub-category]],TblDV45[#All],2)</f>
        <v>Dining Out</v>
      </c>
      <c r="I217" s="34" t="str">
        <f>VLOOKUP(Transactions[[#This Row],[Sub-category]],TblDV45[#All],3)</f>
        <v>Expense</v>
      </c>
    </row>
    <row r="218" spans="1:9" x14ac:dyDescent="0.3">
      <c r="A218" s="29" t="s">
        <v>59</v>
      </c>
      <c r="B218" s="33">
        <v>45065</v>
      </c>
      <c r="C218" s="29" t="s">
        <v>11</v>
      </c>
      <c r="D218" s="29">
        <v>50</v>
      </c>
      <c r="F218" s="34">
        <f t="shared" si="3"/>
        <v>-50</v>
      </c>
      <c r="G218" s="34" t="s">
        <v>12</v>
      </c>
      <c r="H218" s="34" t="str">
        <f>VLOOKUP(Transactions[[#This Row],[Sub-category]],TblDV45[#All],2)</f>
        <v>Dining Out</v>
      </c>
      <c r="I218" s="34" t="str">
        <f>VLOOKUP(Transactions[[#This Row],[Sub-category]],TblDV45[#All],3)</f>
        <v>Expense</v>
      </c>
    </row>
    <row r="219" spans="1:9" x14ac:dyDescent="0.3">
      <c r="A219" s="29" t="s">
        <v>59</v>
      </c>
      <c r="B219" s="33">
        <v>45066</v>
      </c>
      <c r="C219" s="29" t="s">
        <v>11</v>
      </c>
      <c r="D219" s="29">
        <v>50</v>
      </c>
      <c r="F219" s="34">
        <f t="shared" si="3"/>
        <v>-50</v>
      </c>
      <c r="G219" s="34" t="s">
        <v>12</v>
      </c>
      <c r="H219" s="34" t="str">
        <f>VLOOKUP(Transactions[[#This Row],[Sub-category]],TblDV45[#All],2)</f>
        <v>Dining Out</v>
      </c>
      <c r="I219" s="34" t="str">
        <f>VLOOKUP(Transactions[[#This Row],[Sub-category]],TblDV45[#All],3)</f>
        <v>Expense</v>
      </c>
    </row>
    <row r="220" spans="1:9" x14ac:dyDescent="0.3">
      <c r="A220" s="29" t="s">
        <v>59</v>
      </c>
      <c r="B220" s="33">
        <v>45066</v>
      </c>
      <c r="C220" s="29" t="s">
        <v>17</v>
      </c>
      <c r="D220" s="29">
        <v>174</v>
      </c>
      <c r="F220" s="34">
        <f t="shared" si="3"/>
        <v>-174</v>
      </c>
      <c r="G220" s="34" t="s">
        <v>18</v>
      </c>
      <c r="H220" s="34" t="str">
        <f>VLOOKUP(Transactions[[#This Row],[Sub-category]],TblDV45[#All],2)</f>
        <v>Living Expenses</v>
      </c>
      <c r="I220" s="34" t="str">
        <f>VLOOKUP(Transactions[[#This Row],[Sub-category]],TblDV45[#All],3)</f>
        <v>Expense</v>
      </c>
    </row>
    <row r="221" spans="1:9" x14ac:dyDescent="0.3">
      <c r="A221" s="29" t="s">
        <v>59</v>
      </c>
      <c r="B221" s="33">
        <v>45067</v>
      </c>
      <c r="C221" s="29" t="s">
        <v>60</v>
      </c>
      <c r="D221" s="29">
        <v>599</v>
      </c>
      <c r="F221" s="34">
        <f t="shared" si="3"/>
        <v>-599</v>
      </c>
      <c r="G221" s="34" t="s">
        <v>26</v>
      </c>
      <c r="H221" s="34" t="str">
        <f>VLOOKUP(Transactions[[#This Row],[Sub-category]],TblDV45[#All],2)</f>
        <v>Dining Out</v>
      </c>
      <c r="I221" s="34" t="str">
        <f>VLOOKUP(Transactions[[#This Row],[Sub-category]],TblDV45[#All],3)</f>
        <v>Expense</v>
      </c>
    </row>
    <row r="222" spans="1:9" x14ac:dyDescent="0.3">
      <c r="A222" s="29" t="s">
        <v>59</v>
      </c>
      <c r="B222" s="33">
        <v>45068</v>
      </c>
      <c r="C222" s="29" t="s">
        <v>36</v>
      </c>
      <c r="D222" s="29">
        <v>16.2</v>
      </c>
      <c r="F222" s="34">
        <f t="shared" si="3"/>
        <v>-16.2</v>
      </c>
      <c r="G222" s="34" t="s">
        <v>26</v>
      </c>
      <c r="H222" s="34" t="str">
        <f>VLOOKUP(Transactions[[#This Row],[Sub-category]],TblDV45[#All],2)</f>
        <v>Dining Out</v>
      </c>
      <c r="I222" s="34" t="str">
        <f>VLOOKUP(Transactions[[#This Row],[Sub-category]],TblDV45[#All],3)</f>
        <v>Expense</v>
      </c>
    </row>
    <row r="223" spans="1:9" x14ac:dyDescent="0.3">
      <c r="A223" s="29" t="s">
        <v>58</v>
      </c>
      <c r="B223" s="33">
        <v>45069</v>
      </c>
      <c r="C223" s="29" t="s">
        <v>37</v>
      </c>
      <c r="D223" s="29">
        <v>551</v>
      </c>
      <c r="F223" s="34">
        <f t="shared" si="3"/>
        <v>-551</v>
      </c>
      <c r="G223" s="34" t="s">
        <v>38</v>
      </c>
      <c r="H223" s="34" t="str">
        <f>VLOOKUP(Transactions[[#This Row],[Sub-category]],TblDV45[#All],2)</f>
        <v>Charity</v>
      </c>
      <c r="I223" s="34" t="str">
        <f>VLOOKUP(Transactions[[#This Row],[Sub-category]],TblDV45[#All],3)</f>
        <v>Expense</v>
      </c>
    </row>
    <row r="224" spans="1:9" x14ac:dyDescent="0.3">
      <c r="A224" s="29" t="s">
        <v>59</v>
      </c>
      <c r="B224" s="33">
        <v>45069</v>
      </c>
      <c r="C224" s="29" t="s">
        <v>21</v>
      </c>
      <c r="D224" s="29">
        <v>300</v>
      </c>
      <c r="F224" s="34">
        <f t="shared" si="3"/>
        <v>-300</v>
      </c>
      <c r="G224" s="34" t="s">
        <v>22</v>
      </c>
      <c r="H224" s="34" t="str">
        <f>VLOOKUP(Transactions[[#This Row],[Sub-category]],TblDV45[#All],2)</f>
        <v>Transport</v>
      </c>
      <c r="I224" s="34" t="str">
        <f>VLOOKUP(Transactions[[#This Row],[Sub-category]],TblDV45[#All],3)</f>
        <v>Expense</v>
      </c>
    </row>
    <row r="225" spans="1:9" x14ac:dyDescent="0.3">
      <c r="A225" s="29" t="s">
        <v>59</v>
      </c>
      <c r="B225" s="33">
        <v>45069</v>
      </c>
      <c r="C225" s="29" t="s">
        <v>11</v>
      </c>
      <c r="D225" s="29">
        <v>50</v>
      </c>
      <c r="F225" s="34">
        <f t="shared" si="3"/>
        <v>-50</v>
      </c>
      <c r="G225" s="34" t="s">
        <v>12</v>
      </c>
      <c r="H225" s="34" t="str">
        <f>VLOOKUP(Transactions[[#This Row],[Sub-category]],TblDV45[#All],2)</f>
        <v>Dining Out</v>
      </c>
      <c r="I225" s="34" t="str">
        <f>VLOOKUP(Transactions[[#This Row],[Sub-category]],TblDV45[#All],3)</f>
        <v>Expense</v>
      </c>
    </row>
    <row r="226" spans="1:9" x14ac:dyDescent="0.3">
      <c r="A226" s="29" t="s">
        <v>59</v>
      </c>
      <c r="B226" s="33">
        <v>45070</v>
      </c>
      <c r="C226" s="29" t="s">
        <v>11</v>
      </c>
      <c r="D226" s="29">
        <v>50</v>
      </c>
      <c r="F226" s="34">
        <f t="shared" si="3"/>
        <v>-50</v>
      </c>
      <c r="G226" s="34" t="s">
        <v>12</v>
      </c>
      <c r="H226" s="34" t="str">
        <f>VLOOKUP(Transactions[[#This Row],[Sub-category]],TblDV45[#All],2)</f>
        <v>Dining Out</v>
      </c>
      <c r="I226" s="34" t="str">
        <f>VLOOKUP(Transactions[[#This Row],[Sub-category]],TblDV45[#All],3)</f>
        <v>Expense</v>
      </c>
    </row>
    <row r="227" spans="1:9" x14ac:dyDescent="0.3">
      <c r="A227" s="29" t="s">
        <v>59</v>
      </c>
      <c r="B227" s="33">
        <v>45071</v>
      </c>
      <c r="C227" s="29" t="s">
        <v>11</v>
      </c>
      <c r="D227" s="29">
        <v>50</v>
      </c>
      <c r="F227" s="34">
        <f t="shared" si="3"/>
        <v>-50</v>
      </c>
      <c r="G227" s="34" t="s">
        <v>12</v>
      </c>
      <c r="H227" s="34" t="str">
        <f>VLOOKUP(Transactions[[#This Row],[Sub-category]],TblDV45[#All],2)</f>
        <v>Dining Out</v>
      </c>
      <c r="I227" s="34" t="str">
        <f>VLOOKUP(Transactions[[#This Row],[Sub-category]],TblDV45[#All],3)</f>
        <v>Expense</v>
      </c>
    </row>
    <row r="228" spans="1:9" x14ac:dyDescent="0.3">
      <c r="A228" s="29" t="s">
        <v>59</v>
      </c>
      <c r="B228" s="33">
        <v>45072</v>
      </c>
      <c r="C228" s="29" t="s">
        <v>11</v>
      </c>
      <c r="D228" s="29">
        <v>50</v>
      </c>
      <c r="F228" s="34">
        <f t="shared" si="3"/>
        <v>-50</v>
      </c>
      <c r="G228" s="34" t="s">
        <v>12</v>
      </c>
      <c r="H228" s="34" t="str">
        <f>VLOOKUP(Transactions[[#This Row],[Sub-category]],TblDV45[#All],2)</f>
        <v>Dining Out</v>
      </c>
      <c r="I228" s="34" t="str">
        <f>VLOOKUP(Transactions[[#This Row],[Sub-category]],TblDV45[#All],3)</f>
        <v>Expense</v>
      </c>
    </row>
    <row r="229" spans="1:9" x14ac:dyDescent="0.3">
      <c r="A229" s="29" t="s">
        <v>59</v>
      </c>
      <c r="B229" s="33">
        <v>45073</v>
      </c>
      <c r="C229" s="29" t="s">
        <v>11</v>
      </c>
      <c r="D229" s="29">
        <v>50</v>
      </c>
      <c r="F229" s="34">
        <f t="shared" si="3"/>
        <v>-50</v>
      </c>
      <c r="G229" s="34" t="s">
        <v>12</v>
      </c>
      <c r="H229" s="34" t="str">
        <f>VLOOKUP(Transactions[[#This Row],[Sub-category]],TblDV45[#All],2)</f>
        <v>Dining Out</v>
      </c>
      <c r="I229" s="34" t="str">
        <f>VLOOKUP(Transactions[[#This Row],[Sub-category]],TblDV45[#All],3)</f>
        <v>Expense</v>
      </c>
    </row>
    <row r="230" spans="1:9" x14ac:dyDescent="0.3">
      <c r="A230" s="29" t="s">
        <v>59</v>
      </c>
      <c r="B230" s="33">
        <v>45073</v>
      </c>
      <c r="C230" s="29" t="s">
        <v>17</v>
      </c>
      <c r="D230" s="29">
        <v>165.8</v>
      </c>
      <c r="F230" s="34">
        <f t="shared" si="3"/>
        <v>-165.8</v>
      </c>
      <c r="G230" s="34" t="s">
        <v>18</v>
      </c>
      <c r="H230" s="34" t="str">
        <f>VLOOKUP(Transactions[[#This Row],[Sub-category]],TblDV45[#All],2)</f>
        <v>Living Expenses</v>
      </c>
      <c r="I230" s="34" t="str">
        <f>VLOOKUP(Transactions[[#This Row],[Sub-category]],TblDV45[#All],3)</f>
        <v>Expense</v>
      </c>
    </row>
    <row r="231" spans="1:9" x14ac:dyDescent="0.3">
      <c r="A231" s="29" t="s">
        <v>59</v>
      </c>
      <c r="B231" s="33">
        <v>45074</v>
      </c>
      <c r="C231" s="29" t="s">
        <v>44</v>
      </c>
      <c r="D231" s="29">
        <v>2350</v>
      </c>
      <c r="F231" s="34">
        <f t="shared" si="3"/>
        <v>-2350</v>
      </c>
      <c r="G231" s="34" t="s">
        <v>45</v>
      </c>
      <c r="H231" s="34" t="str">
        <f>VLOOKUP(Transactions[[#This Row],[Sub-category]],TblDV45[#All],2)</f>
        <v>Discretionary</v>
      </c>
      <c r="I231" s="34" t="str">
        <f>VLOOKUP(Transactions[[#This Row],[Sub-category]],TblDV45[#All],3)</f>
        <v>Expense</v>
      </c>
    </row>
    <row r="232" spans="1:9" x14ac:dyDescent="0.3">
      <c r="A232" s="29" t="s">
        <v>59</v>
      </c>
      <c r="B232" s="33">
        <v>45075</v>
      </c>
      <c r="C232" s="29" t="s">
        <v>46</v>
      </c>
      <c r="D232" s="29">
        <v>1499.2</v>
      </c>
      <c r="F232" s="34">
        <f t="shared" si="3"/>
        <v>-1499.2</v>
      </c>
      <c r="G232" s="34" t="s">
        <v>25</v>
      </c>
      <c r="H232" s="34" t="str">
        <f>VLOOKUP(Transactions[[#This Row],[Sub-category]],TblDV45[#All],2)</f>
        <v>Discretionary</v>
      </c>
      <c r="I232" s="34" t="str">
        <f>VLOOKUP(Transactions[[#This Row],[Sub-category]],TblDV45[#All],3)</f>
        <v>Expense</v>
      </c>
    </row>
    <row r="233" spans="1:9" x14ac:dyDescent="0.3">
      <c r="A233" s="29" t="s">
        <v>59</v>
      </c>
      <c r="B233" s="33">
        <v>45075</v>
      </c>
      <c r="C233" s="29" t="s">
        <v>27</v>
      </c>
      <c r="D233" s="29">
        <v>120</v>
      </c>
      <c r="F233" s="34">
        <f t="shared" si="3"/>
        <v>-120</v>
      </c>
      <c r="G233" s="34" t="s">
        <v>28</v>
      </c>
      <c r="H233" s="34" t="str">
        <f>VLOOKUP(Transactions[[#This Row],[Sub-category]],TblDV45[#All],2)</f>
        <v>Transport</v>
      </c>
      <c r="I233" s="34" t="str">
        <f>VLOOKUP(Transactions[[#This Row],[Sub-category]],TblDV45[#All],3)</f>
        <v>Expense</v>
      </c>
    </row>
    <row r="234" spans="1:9" x14ac:dyDescent="0.3">
      <c r="A234" s="29" t="s">
        <v>59</v>
      </c>
      <c r="B234" s="33">
        <v>45077</v>
      </c>
      <c r="C234" s="29" t="s">
        <v>43</v>
      </c>
      <c r="D234" s="29">
        <v>250</v>
      </c>
      <c r="F234" s="34">
        <f t="shared" si="3"/>
        <v>-250</v>
      </c>
      <c r="G234" s="34" t="s">
        <v>26</v>
      </c>
      <c r="H234" s="34" t="str">
        <f>VLOOKUP(Transactions[[#This Row],[Sub-category]],TblDV45[#All],2)</f>
        <v>Dining Out</v>
      </c>
      <c r="I234" s="34" t="str">
        <f>VLOOKUP(Transactions[[#This Row],[Sub-category]],TblDV45[#All],3)</f>
        <v>Expense</v>
      </c>
    </row>
    <row r="235" spans="1:9" x14ac:dyDescent="0.3">
      <c r="A235" s="29" t="s">
        <v>59</v>
      </c>
      <c r="B235" s="33">
        <v>45076</v>
      </c>
      <c r="C235" s="29" t="s">
        <v>11</v>
      </c>
      <c r="D235" s="29">
        <v>50</v>
      </c>
      <c r="F235" s="34">
        <f t="shared" si="3"/>
        <v>-50</v>
      </c>
      <c r="G235" s="34" t="s">
        <v>12</v>
      </c>
      <c r="H235" s="34" t="str">
        <f>VLOOKUP(Transactions[[#This Row],[Sub-category]],TblDV45[#All],2)</f>
        <v>Dining Out</v>
      </c>
      <c r="I235" s="34" t="str">
        <f>VLOOKUP(Transactions[[#This Row],[Sub-category]],TblDV45[#All],3)</f>
        <v>Expense</v>
      </c>
    </row>
    <row r="236" spans="1:9" x14ac:dyDescent="0.3">
      <c r="A236" s="29" t="s">
        <v>59</v>
      </c>
      <c r="B236" s="33">
        <v>45077</v>
      </c>
      <c r="C236" s="29" t="s">
        <v>11</v>
      </c>
      <c r="D236" s="29">
        <v>50</v>
      </c>
      <c r="F236" s="34">
        <f t="shared" si="3"/>
        <v>-50</v>
      </c>
      <c r="G236" s="34" t="s">
        <v>12</v>
      </c>
      <c r="H236" s="34" t="str">
        <f>VLOOKUP(Transactions[[#This Row],[Sub-category]],TblDV45[#All],2)</f>
        <v>Dining Out</v>
      </c>
      <c r="I236" s="34" t="str">
        <f>VLOOKUP(Transactions[[#This Row],[Sub-category]],TblDV45[#All],3)</f>
        <v>Expense</v>
      </c>
    </row>
    <row r="237" spans="1:9" x14ac:dyDescent="0.3">
      <c r="A237" s="29" t="s">
        <v>58</v>
      </c>
      <c r="B237" s="33">
        <v>45078</v>
      </c>
      <c r="C237" s="29" t="s">
        <v>9</v>
      </c>
      <c r="E237" s="29">
        <v>30000</v>
      </c>
      <c r="F237" s="34">
        <f t="shared" si="3"/>
        <v>30000</v>
      </c>
      <c r="G237" s="34" t="s">
        <v>10</v>
      </c>
      <c r="H237" s="34" t="str">
        <f>VLOOKUP(Transactions[[#This Row],[Sub-category]],TblDV45[#All],2)</f>
        <v>Salary</v>
      </c>
      <c r="I237" s="34" t="str">
        <f>VLOOKUP(Transactions[[#This Row],[Sub-category]],TblDV45[#All],3)</f>
        <v>Income</v>
      </c>
    </row>
    <row r="238" spans="1:9" x14ac:dyDescent="0.3">
      <c r="A238" s="29" t="s">
        <v>59</v>
      </c>
      <c r="B238" s="33">
        <v>45080</v>
      </c>
      <c r="C238" s="29" t="s">
        <v>11</v>
      </c>
      <c r="D238" s="29">
        <v>50</v>
      </c>
      <c r="F238" s="34">
        <f t="shared" si="3"/>
        <v>-50</v>
      </c>
      <c r="G238" s="34" t="s">
        <v>12</v>
      </c>
      <c r="H238" s="34" t="str">
        <f>VLOOKUP(Transactions[[#This Row],[Sub-category]],TblDV45[#All],2)</f>
        <v>Dining Out</v>
      </c>
      <c r="I238" s="34" t="str">
        <f>VLOOKUP(Transactions[[#This Row],[Sub-category]],TblDV45[#All],3)</f>
        <v>Expense</v>
      </c>
    </row>
    <row r="239" spans="1:9" x14ac:dyDescent="0.3">
      <c r="A239" s="29" t="s">
        <v>58</v>
      </c>
      <c r="B239" s="33">
        <v>45080</v>
      </c>
      <c r="C239" s="29" t="s">
        <v>13</v>
      </c>
      <c r="D239" s="29">
        <v>6000</v>
      </c>
      <c r="F239" s="34">
        <f t="shared" si="3"/>
        <v>-6000</v>
      </c>
      <c r="G239" s="34" t="s">
        <v>14</v>
      </c>
      <c r="H239" s="34" t="str">
        <f>VLOOKUP(Transactions[[#This Row],[Sub-category]],TblDV45[#All],2)</f>
        <v>Living Expenses</v>
      </c>
      <c r="I239" s="34" t="str">
        <f>VLOOKUP(Transactions[[#This Row],[Sub-category]],TblDV45[#All],3)</f>
        <v>Expense</v>
      </c>
    </row>
    <row r="240" spans="1:9" x14ac:dyDescent="0.3">
      <c r="A240" s="29" t="s">
        <v>58</v>
      </c>
      <c r="B240" s="33">
        <v>45080</v>
      </c>
      <c r="C240" s="29" t="s">
        <v>15</v>
      </c>
      <c r="D240" s="29">
        <v>2500</v>
      </c>
      <c r="F240" s="34">
        <f t="shared" si="3"/>
        <v>-2500</v>
      </c>
      <c r="G240" s="34" t="s">
        <v>16</v>
      </c>
      <c r="H240" s="34" t="str">
        <f>VLOOKUP(Transactions[[#This Row],[Sub-category]],TblDV45[#All],2)</f>
        <v>Transport</v>
      </c>
      <c r="I240" s="34" t="str">
        <f>VLOOKUP(Transactions[[#This Row],[Sub-category]],TblDV45[#All],3)</f>
        <v>Expense</v>
      </c>
    </row>
    <row r="241" spans="1:9" x14ac:dyDescent="0.3">
      <c r="A241" s="29" t="s">
        <v>59</v>
      </c>
      <c r="B241" s="33">
        <v>45080</v>
      </c>
      <c r="C241" s="29" t="s">
        <v>11</v>
      </c>
      <c r="D241" s="29">
        <v>50</v>
      </c>
      <c r="F241" s="34">
        <f t="shared" si="3"/>
        <v>-50</v>
      </c>
      <c r="G241" s="34" t="s">
        <v>12</v>
      </c>
      <c r="H241" s="34" t="str">
        <f>VLOOKUP(Transactions[[#This Row],[Sub-category]],TblDV45[#All],2)</f>
        <v>Dining Out</v>
      </c>
      <c r="I241" s="34" t="str">
        <f>VLOOKUP(Transactions[[#This Row],[Sub-category]],TblDV45[#All],3)</f>
        <v>Expense</v>
      </c>
    </row>
    <row r="242" spans="1:9" x14ac:dyDescent="0.3">
      <c r="A242" s="29" t="s">
        <v>59</v>
      </c>
      <c r="B242" s="33">
        <v>45081</v>
      </c>
      <c r="C242" s="29" t="s">
        <v>11</v>
      </c>
      <c r="D242" s="29">
        <v>50</v>
      </c>
      <c r="F242" s="34">
        <f t="shared" si="3"/>
        <v>-50</v>
      </c>
      <c r="G242" s="34" t="s">
        <v>12</v>
      </c>
      <c r="H242" s="34" t="str">
        <f>VLOOKUP(Transactions[[#This Row],[Sub-category]],TblDV45[#All],2)</f>
        <v>Dining Out</v>
      </c>
      <c r="I242" s="34" t="str">
        <f>VLOOKUP(Transactions[[#This Row],[Sub-category]],TblDV45[#All],3)</f>
        <v>Expense</v>
      </c>
    </row>
    <row r="243" spans="1:9" x14ac:dyDescent="0.3">
      <c r="A243" s="29" t="s">
        <v>59</v>
      </c>
      <c r="B243" s="33">
        <v>45082</v>
      </c>
      <c r="C243" s="29" t="s">
        <v>11</v>
      </c>
      <c r="D243" s="29">
        <v>50</v>
      </c>
      <c r="F243" s="34">
        <f t="shared" si="3"/>
        <v>-50</v>
      </c>
      <c r="G243" s="34" t="s">
        <v>12</v>
      </c>
      <c r="H243" s="34" t="str">
        <f>VLOOKUP(Transactions[[#This Row],[Sub-category]],TblDV45[#All],2)</f>
        <v>Dining Out</v>
      </c>
      <c r="I243" s="34" t="str">
        <f>VLOOKUP(Transactions[[#This Row],[Sub-category]],TblDV45[#All],3)</f>
        <v>Expense</v>
      </c>
    </row>
    <row r="244" spans="1:9" x14ac:dyDescent="0.3">
      <c r="A244" s="29" t="s">
        <v>59</v>
      </c>
      <c r="B244" s="33">
        <v>45083</v>
      </c>
      <c r="C244" s="29" t="s">
        <v>11</v>
      </c>
      <c r="D244" s="29">
        <v>50</v>
      </c>
      <c r="F244" s="34">
        <f t="shared" si="3"/>
        <v>-50</v>
      </c>
      <c r="G244" s="34" t="s">
        <v>12</v>
      </c>
      <c r="H244" s="34" t="str">
        <f>VLOOKUP(Transactions[[#This Row],[Sub-category]],TblDV45[#All],2)</f>
        <v>Dining Out</v>
      </c>
      <c r="I244" s="34" t="str">
        <f>VLOOKUP(Transactions[[#This Row],[Sub-category]],TblDV45[#All],3)</f>
        <v>Expense</v>
      </c>
    </row>
    <row r="245" spans="1:9" x14ac:dyDescent="0.3">
      <c r="A245" s="29" t="s">
        <v>59</v>
      </c>
      <c r="B245" s="33">
        <v>45083</v>
      </c>
      <c r="C245" s="29" t="s">
        <v>17</v>
      </c>
      <c r="D245" s="29">
        <v>119</v>
      </c>
      <c r="F245" s="34">
        <f t="shared" si="3"/>
        <v>-119</v>
      </c>
      <c r="G245" s="34" t="s">
        <v>18</v>
      </c>
      <c r="H245" s="34" t="str">
        <f>VLOOKUP(Transactions[[#This Row],[Sub-category]],TblDV45[#All],2)</f>
        <v>Living Expenses</v>
      </c>
      <c r="I245" s="34" t="str">
        <f>VLOOKUP(Transactions[[#This Row],[Sub-category]],TblDV45[#All],3)</f>
        <v>Expense</v>
      </c>
    </row>
    <row r="246" spans="1:9" x14ac:dyDescent="0.3">
      <c r="A246" s="29" t="s">
        <v>58</v>
      </c>
      <c r="B246" s="33">
        <v>45086</v>
      </c>
      <c r="C246" s="29" t="s">
        <v>19</v>
      </c>
      <c r="D246" s="29">
        <v>1000</v>
      </c>
      <c r="F246" s="34">
        <f t="shared" si="3"/>
        <v>-1000</v>
      </c>
      <c r="G246" s="34" t="s">
        <v>20</v>
      </c>
      <c r="H246" s="34" t="str">
        <f>VLOOKUP(Transactions[[#This Row],[Sub-category]],TblDV45[#All],2)</f>
        <v>Living Expenses</v>
      </c>
      <c r="I246" s="34" t="str">
        <f>VLOOKUP(Transactions[[#This Row],[Sub-category]],TblDV45[#All],3)</f>
        <v>Expense</v>
      </c>
    </row>
    <row r="247" spans="1:9" x14ac:dyDescent="0.3">
      <c r="A247" s="29" t="s">
        <v>59</v>
      </c>
      <c r="B247" s="33">
        <v>45086</v>
      </c>
      <c r="C247" s="29" t="s">
        <v>11</v>
      </c>
      <c r="D247" s="29">
        <v>50</v>
      </c>
      <c r="F247" s="34">
        <f t="shared" si="3"/>
        <v>-50</v>
      </c>
      <c r="G247" s="34" t="s">
        <v>12</v>
      </c>
      <c r="H247" s="34" t="str">
        <f>VLOOKUP(Transactions[[#This Row],[Sub-category]],TblDV45[#All],2)</f>
        <v>Dining Out</v>
      </c>
      <c r="I247" s="34" t="str">
        <f>VLOOKUP(Transactions[[#This Row],[Sub-category]],TblDV45[#All],3)</f>
        <v>Expense</v>
      </c>
    </row>
    <row r="248" spans="1:9" x14ac:dyDescent="0.3">
      <c r="A248" s="29" t="s">
        <v>59</v>
      </c>
      <c r="B248" s="33">
        <v>45087</v>
      </c>
      <c r="C248" s="29" t="s">
        <v>11</v>
      </c>
      <c r="D248" s="29">
        <v>50</v>
      </c>
      <c r="F248" s="34">
        <f t="shared" si="3"/>
        <v>-50</v>
      </c>
      <c r="G248" s="34" t="s">
        <v>12</v>
      </c>
      <c r="H248" s="34" t="str">
        <f>VLOOKUP(Transactions[[#This Row],[Sub-category]],TblDV45[#All],2)</f>
        <v>Dining Out</v>
      </c>
      <c r="I248" s="34" t="str">
        <f>VLOOKUP(Transactions[[#This Row],[Sub-category]],TblDV45[#All],3)</f>
        <v>Expense</v>
      </c>
    </row>
    <row r="249" spans="1:9" x14ac:dyDescent="0.3">
      <c r="A249" s="29" t="s">
        <v>59</v>
      </c>
      <c r="B249" s="33">
        <v>45088</v>
      </c>
      <c r="C249" s="29" t="s">
        <v>21</v>
      </c>
      <c r="D249" s="29">
        <v>300</v>
      </c>
      <c r="F249" s="34">
        <f t="shared" si="3"/>
        <v>-300</v>
      </c>
      <c r="G249" s="34" t="s">
        <v>22</v>
      </c>
      <c r="H249" s="34" t="str">
        <f>VLOOKUP(Transactions[[#This Row],[Sub-category]],TblDV45[#All],2)</f>
        <v>Transport</v>
      </c>
      <c r="I249" s="34" t="str">
        <f>VLOOKUP(Transactions[[#This Row],[Sub-category]],TblDV45[#All],3)</f>
        <v>Expense</v>
      </c>
    </row>
    <row r="250" spans="1:9" x14ac:dyDescent="0.3">
      <c r="A250" s="29" t="s">
        <v>59</v>
      </c>
      <c r="B250" s="33">
        <v>45088</v>
      </c>
      <c r="C250" s="29" t="s">
        <v>11</v>
      </c>
      <c r="D250" s="29">
        <v>50</v>
      </c>
      <c r="F250" s="34">
        <f t="shared" si="3"/>
        <v>-50</v>
      </c>
      <c r="G250" s="34" t="s">
        <v>12</v>
      </c>
      <c r="H250" s="34" t="str">
        <f>VLOOKUP(Transactions[[#This Row],[Sub-category]],TblDV45[#All],2)</f>
        <v>Dining Out</v>
      </c>
      <c r="I250" s="34" t="str">
        <f>VLOOKUP(Transactions[[#This Row],[Sub-category]],TblDV45[#All],3)</f>
        <v>Expense</v>
      </c>
    </row>
    <row r="251" spans="1:9" x14ac:dyDescent="0.3">
      <c r="A251" s="29" t="s">
        <v>59</v>
      </c>
      <c r="B251" s="33">
        <v>45089</v>
      </c>
      <c r="C251" s="29" t="s">
        <v>11</v>
      </c>
      <c r="D251" s="29">
        <v>50</v>
      </c>
      <c r="F251" s="34">
        <f t="shared" ref="F251:F312" si="4">E251-D251</f>
        <v>-50</v>
      </c>
      <c r="G251" s="34" t="s">
        <v>12</v>
      </c>
      <c r="H251" s="34" t="str">
        <f>VLOOKUP(Transactions[[#This Row],[Sub-category]],TblDV45[#All],2)</f>
        <v>Dining Out</v>
      </c>
      <c r="I251" s="34" t="str">
        <f>VLOOKUP(Transactions[[#This Row],[Sub-category]],TblDV45[#All],3)</f>
        <v>Expense</v>
      </c>
    </row>
    <row r="252" spans="1:9" x14ac:dyDescent="0.3">
      <c r="A252" s="29" t="s">
        <v>59</v>
      </c>
      <c r="B252" s="33">
        <v>45090</v>
      </c>
      <c r="C252" s="29" t="s">
        <v>17</v>
      </c>
      <c r="D252" s="29">
        <v>140.19999999999999</v>
      </c>
      <c r="F252" s="34">
        <f t="shared" si="4"/>
        <v>-140.19999999999999</v>
      </c>
      <c r="G252" s="34" t="s">
        <v>18</v>
      </c>
      <c r="H252" s="34" t="str">
        <f>VLOOKUP(Transactions[[#This Row],[Sub-category]],TblDV45[#All],2)</f>
        <v>Living Expenses</v>
      </c>
      <c r="I252" s="34" t="str">
        <f>VLOOKUP(Transactions[[#This Row],[Sub-category]],TblDV45[#All],3)</f>
        <v>Expense</v>
      </c>
    </row>
    <row r="253" spans="1:9" x14ac:dyDescent="0.3">
      <c r="A253" s="29" t="s">
        <v>59</v>
      </c>
      <c r="B253" s="33">
        <v>45090</v>
      </c>
      <c r="C253" s="29" t="s">
        <v>11</v>
      </c>
      <c r="D253" s="29">
        <v>50</v>
      </c>
      <c r="F253" s="34">
        <f t="shared" si="4"/>
        <v>-50</v>
      </c>
      <c r="G253" s="34" t="s">
        <v>12</v>
      </c>
      <c r="H253" s="34" t="str">
        <f>VLOOKUP(Transactions[[#This Row],[Sub-category]],TblDV45[#All],2)</f>
        <v>Dining Out</v>
      </c>
      <c r="I253" s="34" t="str">
        <f>VLOOKUP(Transactions[[#This Row],[Sub-category]],TblDV45[#All],3)</f>
        <v>Expense</v>
      </c>
    </row>
    <row r="254" spans="1:9" x14ac:dyDescent="0.3">
      <c r="A254" s="29" t="s">
        <v>59</v>
      </c>
      <c r="B254" s="33">
        <v>45091</v>
      </c>
      <c r="C254" s="29" t="s">
        <v>11</v>
      </c>
      <c r="D254" s="29">
        <v>50</v>
      </c>
      <c r="F254" s="34">
        <f t="shared" si="4"/>
        <v>-50</v>
      </c>
      <c r="G254" s="34" t="s">
        <v>12</v>
      </c>
      <c r="H254" s="34" t="str">
        <f>VLOOKUP(Transactions[[#This Row],[Sub-category]],TblDV45[#All],2)</f>
        <v>Dining Out</v>
      </c>
      <c r="I254" s="34" t="str">
        <f>VLOOKUP(Transactions[[#This Row],[Sub-category]],TblDV45[#All],3)</f>
        <v>Expense</v>
      </c>
    </row>
    <row r="255" spans="1:9" x14ac:dyDescent="0.3">
      <c r="A255" s="29" t="s">
        <v>59</v>
      </c>
      <c r="B255" s="33">
        <v>45091</v>
      </c>
      <c r="C255" s="29" t="s">
        <v>23</v>
      </c>
      <c r="D255" s="29">
        <v>140</v>
      </c>
      <c r="F255" s="34">
        <f t="shared" si="4"/>
        <v>-140</v>
      </c>
      <c r="G255" s="34" t="s">
        <v>24</v>
      </c>
      <c r="H255" s="34" t="str">
        <f>VLOOKUP(Transactions[[#This Row],[Sub-category]],TblDV45[#All],2)</f>
        <v>Discretionary</v>
      </c>
      <c r="I255" s="34" t="str">
        <f>VLOOKUP(Transactions[[#This Row],[Sub-category]],TblDV45[#All],3)</f>
        <v>Expense</v>
      </c>
    </row>
    <row r="256" spans="1:9" x14ac:dyDescent="0.3">
      <c r="A256" s="29" t="s">
        <v>59</v>
      </c>
      <c r="B256" s="33">
        <v>45091</v>
      </c>
      <c r="C256" s="29" t="s">
        <v>46</v>
      </c>
      <c r="D256" s="29">
        <v>1102.9000000000001</v>
      </c>
      <c r="F256" s="34">
        <f t="shared" si="4"/>
        <v>-1102.9000000000001</v>
      </c>
      <c r="G256" s="34" t="s">
        <v>25</v>
      </c>
      <c r="H256" s="34" t="str">
        <f>VLOOKUP(Transactions[[#This Row],[Sub-category]],TblDV45[#All],2)</f>
        <v>Discretionary</v>
      </c>
      <c r="I256" s="34" t="str">
        <f>VLOOKUP(Transactions[[#This Row],[Sub-category]],TblDV45[#All],3)</f>
        <v>Expense</v>
      </c>
    </row>
    <row r="257" spans="1:9" x14ac:dyDescent="0.3">
      <c r="A257" s="29" t="s">
        <v>59</v>
      </c>
      <c r="B257" s="33">
        <v>45091</v>
      </c>
      <c r="C257" s="29" t="s">
        <v>48</v>
      </c>
      <c r="D257" s="29">
        <v>200</v>
      </c>
      <c r="F257" s="34">
        <f t="shared" si="4"/>
        <v>-200</v>
      </c>
      <c r="G257" s="34" t="s">
        <v>26</v>
      </c>
      <c r="H257" s="34" t="str">
        <f>VLOOKUP(Transactions[[#This Row],[Sub-category]],TblDV45[#All],2)</f>
        <v>Dining Out</v>
      </c>
      <c r="I257" s="34" t="str">
        <f>VLOOKUP(Transactions[[#This Row],[Sub-category]],TblDV45[#All],3)</f>
        <v>Expense</v>
      </c>
    </row>
    <row r="258" spans="1:9" x14ac:dyDescent="0.3">
      <c r="A258" s="29" t="s">
        <v>59</v>
      </c>
      <c r="B258" s="33">
        <v>45092</v>
      </c>
      <c r="C258" s="29" t="s">
        <v>27</v>
      </c>
      <c r="D258" s="29">
        <v>120</v>
      </c>
      <c r="F258" s="34">
        <f t="shared" si="4"/>
        <v>-120</v>
      </c>
      <c r="G258" s="34" t="s">
        <v>28</v>
      </c>
      <c r="H258" s="34" t="str">
        <f>VLOOKUP(Transactions[[#This Row],[Sub-category]],TblDV45[#All],2)</f>
        <v>Transport</v>
      </c>
      <c r="I258" s="34" t="str">
        <f>VLOOKUP(Transactions[[#This Row],[Sub-category]],TblDV45[#All],3)</f>
        <v>Expense</v>
      </c>
    </row>
    <row r="259" spans="1:9" x14ac:dyDescent="0.3">
      <c r="A259" s="29" t="s">
        <v>58</v>
      </c>
      <c r="B259" s="33">
        <v>45093</v>
      </c>
      <c r="C259" s="29" t="s">
        <v>29</v>
      </c>
      <c r="D259" s="29">
        <v>300</v>
      </c>
      <c r="F259" s="34">
        <f t="shared" si="4"/>
        <v>-300</v>
      </c>
      <c r="G259" s="34" t="s">
        <v>30</v>
      </c>
      <c r="H259" s="34" t="str">
        <f>VLOOKUP(Transactions[[#This Row],[Sub-category]],TblDV45[#All],2)</f>
        <v>Discretionary</v>
      </c>
      <c r="I259" s="34" t="str">
        <f>VLOOKUP(Transactions[[#This Row],[Sub-category]],TblDV45[#All],3)</f>
        <v>Expense</v>
      </c>
    </row>
    <row r="260" spans="1:9" x14ac:dyDescent="0.3">
      <c r="A260" s="29" t="s">
        <v>59</v>
      </c>
      <c r="B260" s="33">
        <v>45093</v>
      </c>
      <c r="C260" s="29" t="s">
        <v>11</v>
      </c>
      <c r="D260" s="29">
        <v>50</v>
      </c>
      <c r="F260" s="34">
        <f t="shared" si="4"/>
        <v>-50</v>
      </c>
      <c r="G260" s="34" t="s">
        <v>12</v>
      </c>
      <c r="H260" s="34" t="str">
        <f>VLOOKUP(Transactions[[#This Row],[Sub-category]],TblDV45[#All],2)</f>
        <v>Dining Out</v>
      </c>
      <c r="I260" s="34" t="str">
        <f>VLOOKUP(Transactions[[#This Row],[Sub-category]],TblDV45[#All],3)</f>
        <v>Expense</v>
      </c>
    </row>
    <row r="261" spans="1:9" x14ac:dyDescent="0.3">
      <c r="A261" s="29" t="s">
        <v>59</v>
      </c>
      <c r="B261" s="33">
        <v>45094</v>
      </c>
      <c r="C261" s="29" t="s">
        <v>11</v>
      </c>
      <c r="D261" s="29">
        <v>50</v>
      </c>
      <c r="F261" s="34">
        <f t="shared" si="4"/>
        <v>-50</v>
      </c>
      <c r="G261" s="34" t="s">
        <v>12</v>
      </c>
      <c r="H261" s="34" t="str">
        <f>VLOOKUP(Transactions[[#This Row],[Sub-category]],TblDV45[#All],2)</f>
        <v>Dining Out</v>
      </c>
      <c r="I261" s="34" t="str">
        <f>VLOOKUP(Transactions[[#This Row],[Sub-category]],TblDV45[#All],3)</f>
        <v>Expense</v>
      </c>
    </row>
    <row r="262" spans="1:9" x14ac:dyDescent="0.3">
      <c r="A262" s="29" t="s">
        <v>58</v>
      </c>
      <c r="B262" s="33">
        <v>45094</v>
      </c>
      <c r="C262" s="29" t="s">
        <v>47</v>
      </c>
      <c r="D262" s="29">
        <v>699</v>
      </c>
      <c r="F262" s="34">
        <f t="shared" si="4"/>
        <v>-699</v>
      </c>
      <c r="G262" s="34" t="s">
        <v>33</v>
      </c>
      <c r="H262" s="34" t="str">
        <f>VLOOKUP(Transactions[[#This Row],[Sub-category]],TblDV45[#All],2)</f>
        <v>Living Expenses</v>
      </c>
      <c r="I262" s="34" t="str">
        <f>VLOOKUP(Transactions[[#This Row],[Sub-category]],TblDV45[#All],3)</f>
        <v>Expense</v>
      </c>
    </row>
    <row r="263" spans="1:9" x14ac:dyDescent="0.3">
      <c r="A263" s="29" t="s">
        <v>59</v>
      </c>
      <c r="B263" s="33">
        <v>45095</v>
      </c>
      <c r="C263" s="29" t="s">
        <v>34</v>
      </c>
      <c r="D263" s="29">
        <v>500</v>
      </c>
      <c r="F263" s="34">
        <f t="shared" si="4"/>
        <v>-500</v>
      </c>
      <c r="G263" s="34" t="s">
        <v>34</v>
      </c>
      <c r="H263" s="34" t="str">
        <f>VLOOKUP(Transactions[[#This Row],[Sub-category]],TblDV45[#All],2)</f>
        <v>Discretionary</v>
      </c>
      <c r="I263" s="34" t="str">
        <f>VLOOKUP(Transactions[[#This Row],[Sub-category]],TblDV45[#All],3)</f>
        <v>Expense</v>
      </c>
    </row>
    <row r="264" spans="1:9" x14ac:dyDescent="0.3">
      <c r="A264" s="29" t="s">
        <v>59</v>
      </c>
      <c r="B264" s="33">
        <v>45095</v>
      </c>
      <c r="C264" s="29" t="s">
        <v>35</v>
      </c>
      <c r="D264" s="29">
        <v>500</v>
      </c>
      <c r="F264" s="34">
        <f t="shared" si="4"/>
        <v>-500</v>
      </c>
      <c r="G264" s="34" t="s">
        <v>24</v>
      </c>
      <c r="H264" s="34" t="str">
        <f>VLOOKUP(Transactions[[#This Row],[Sub-category]],TblDV45[#All],2)</f>
        <v>Discretionary</v>
      </c>
      <c r="I264" s="34" t="str">
        <f>VLOOKUP(Transactions[[#This Row],[Sub-category]],TblDV45[#All],3)</f>
        <v>Expense</v>
      </c>
    </row>
    <row r="265" spans="1:9" x14ac:dyDescent="0.3">
      <c r="A265" s="29" t="s">
        <v>59</v>
      </c>
      <c r="B265" s="33">
        <v>45095</v>
      </c>
      <c r="C265" s="29" t="s">
        <v>11</v>
      </c>
      <c r="D265" s="29">
        <v>50</v>
      </c>
      <c r="F265" s="34">
        <f t="shared" si="4"/>
        <v>-50</v>
      </c>
      <c r="G265" s="34" t="s">
        <v>12</v>
      </c>
      <c r="H265" s="34" t="str">
        <f>VLOOKUP(Transactions[[#This Row],[Sub-category]],TblDV45[#All],2)</f>
        <v>Dining Out</v>
      </c>
      <c r="I265" s="34" t="str">
        <f>VLOOKUP(Transactions[[#This Row],[Sub-category]],TblDV45[#All],3)</f>
        <v>Expense</v>
      </c>
    </row>
    <row r="266" spans="1:9" x14ac:dyDescent="0.3">
      <c r="A266" s="29" t="s">
        <v>59</v>
      </c>
      <c r="B266" s="33">
        <v>45096</v>
      </c>
      <c r="C266" s="29" t="s">
        <v>11</v>
      </c>
      <c r="D266" s="29">
        <v>50</v>
      </c>
      <c r="F266" s="34">
        <f t="shared" si="4"/>
        <v>-50</v>
      </c>
      <c r="G266" s="34" t="s">
        <v>12</v>
      </c>
      <c r="H266" s="34" t="str">
        <f>VLOOKUP(Transactions[[#This Row],[Sub-category]],TblDV45[#All],2)</f>
        <v>Dining Out</v>
      </c>
      <c r="I266" s="34" t="str">
        <f>VLOOKUP(Transactions[[#This Row],[Sub-category]],TblDV45[#All],3)</f>
        <v>Expense</v>
      </c>
    </row>
    <row r="267" spans="1:9" x14ac:dyDescent="0.3">
      <c r="A267" s="29" t="s">
        <v>59</v>
      </c>
      <c r="B267" s="33">
        <v>45097</v>
      </c>
      <c r="C267" s="29" t="s">
        <v>11</v>
      </c>
      <c r="D267" s="29">
        <v>50</v>
      </c>
      <c r="F267" s="34">
        <f t="shared" si="4"/>
        <v>-50</v>
      </c>
      <c r="G267" s="34" t="s">
        <v>12</v>
      </c>
      <c r="H267" s="34" t="str">
        <f>VLOOKUP(Transactions[[#This Row],[Sub-category]],TblDV45[#All],2)</f>
        <v>Dining Out</v>
      </c>
      <c r="I267" s="34" t="str">
        <f>VLOOKUP(Transactions[[#This Row],[Sub-category]],TblDV45[#All],3)</f>
        <v>Expense</v>
      </c>
    </row>
    <row r="268" spans="1:9" x14ac:dyDescent="0.3">
      <c r="A268" s="29" t="s">
        <v>59</v>
      </c>
      <c r="B268" s="33">
        <v>45097</v>
      </c>
      <c r="C268" s="29" t="s">
        <v>17</v>
      </c>
      <c r="D268" s="29">
        <v>234</v>
      </c>
      <c r="F268" s="34">
        <f t="shared" si="4"/>
        <v>-234</v>
      </c>
      <c r="G268" s="34" t="s">
        <v>18</v>
      </c>
      <c r="H268" s="34" t="str">
        <f>VLOOKUP(Transactions[[#This Row],[Sub-category]],TblDV45[#All],2)</f>
        <v>Living Expenses</v>
      </c>
      <c r="I268" s="34" t="str">
        <f>VLOOKUP(Transactions[[#This Row],[Sub-category]],TblDV45[#All],3)</f>
        <v>Expense</v>
      </c>
    </row>
    <row r="269" spans="1:9" x14ac:dyDescent="0.3">
      <c r="A269" s="29" t="s">
        <v>59</v>
      </c>
      <c r="B269" s="33">
        <v>45098</v>
      </c>
      <c r="C269" s="29" t="s">
        <v>60</v>
      </c>
      <c r="D269" s="29">
        <v>599</v>
      </c>
      <c r="F269" s="34">
        <f t="shared" si="4"/>
        <v>-599</v>
      </c>
      <c r="G269" s="34" t="s">
        <v>26</v>
      </c>
      <c r="H269" s="34" t="str">
        <f>VLOOKUP(Transactions[[#This Row],[Sub-category]],TblDV45[#All],2)</f>
        <v>Dining Out</v>
      </c>
      <c r="I269" s="34" t="str">
        <f>VLOOKUP(Transactions[[#This Row],[Sub-category]],TblDV45[#All],3)</f>
        <v>Expense</v>
      </c>
    </row>
    <row r="270" spans="1:9" x14ac:dyDescent="0.3">
      <c r="A270" s="29" t="s">
        <v>59</v>
      </c>
      <c r="B270" s="33">
        <v>45099</v>
      </c>
      <c r="C270" s="29" t="s">
        <v>36</v>
      </c>
      <c r="D270" s="29">
        <v>17.099999999999998</v>
      </c>
      <c r="F270" s="34">
        <f t="shared" si="4"/>
        <v>-17.099999999999998</v>
      </c>
      <c r="G270" s="34" t="s">
        <v>26</v>
      </c>
      <c r="H270" s="34" t="str">
        <f>VLOOKUP(Transactions[[#This Row],[Sub-category]],TblDV45[#All],2)</f>
        <v>Dining Out</v>
      </c>
      <c r="I270" s="34" t="str">
        <f>VLOOKUP(Transactions[[#This Row],[Sub-category]],TblDV45[#All],3)</f>
        <v>Expense</v>
      </c>
    </row>
    <row r="271" spans="1:9" x14ac:dyDescent="0.3">
      <c r="A271" s="29" t="s">
        <v>58</v>
      </c>
      <c r="B271" s="33">
        <v>45100</v>
      </c>
      <c r="C271" s="29" t="s">
        <v>37</v>
      </c>
      <c r="D271" s="29">
        <v>551</v>
      </c>
      <c r="F271" s="34">
        <f t="shared" si="4"/>
        <v>-551</v>
      </c>
      <c r="G271" s="34" t="s">
        <v>38</v>
      </c>
      <c r="H271" s="34" t="str">
        <f>VLOOKUP(Transactions[[#This Row],[Sub-category]],TblDV45[#All],2)</f>
        <v>Charity</v>
      </c>
      <c r="I271" s="34" t="str">
        <f>VLOOKUP(Transactions[[#This Row],[Sub-category]],TblDV45[#All],3)</f>
        <v>Expense</v>
      </c>
    </row>
    <row r="272" spans="1:9" x14ac:dyDescent="0.3">
      <c r="A272" s="29" t="s">
        <v>59</v>
      </c>
      <c r="B272" s="33">
        <v>45100</v>
      </c>
      <c r="C272" s="29" t="s">
        <v>21</v>
      </c>
      <c r="D272" s="29">
        <v>300</v>
      </c>
      <c r="F272" s="34">
        <f t="shared" si="4"/>
        <v>-300</v>
      </c>
      <c r="G272" s="34" t="s">
        <v>22</v>
      </c>
      <c r="H272" s="34" t="str">
        <f>VLOOKUP(Transactions[[#This Row],[Sub-category]],TblDV45[#All],2)</f>
        <v>Transport</v>
      </c>
      <c r="I272" s="34" t="str">
        <f>VLOOKUP(Transactions[[#This Row],[Sub-category]],TblDV45[#All],3)</f>
        <v>Expense</v>
      </c>
    </row>
    <row r="273" spans="1:9" x14ac:dyDescent="0.3">
      <c r="A273" s="29" t="s">
        <v>59</v>
      </c>
      <c r="B273" s="33">
        <v>45100</v>
      </c>
      <c r="C273" s="29" t="s">
        <v>11</v>
      </c>
      <c r="D273" s="29">
        <v>50</v>
      </c>
      <c r="F273" s="34">
        <f t="shared" si="4"/>
        <v>-50</v>
      </c>
      <c r="G273" s="34" t="s">
        <v>12</v>
      </c>
      <c r="H273" s="34" t="str">
        <f>VLOOKUP(Transactions[[#This Row],[Sub-category]],TblDV45[#All],2)</f>
        <v>Dining Out</v>
      </c>
      <c r="I273" s="34" t="str">
        <f>VLOOKUP(Transactions[[#This Row],[Sub-category]],TblDV45[#All],3)</f>
        <v>Expense</v>
      </c>
    </row>
    <row r="274" spans="1:9" x14ac:dyDescent="0.3">
      <c r="A274" s="29" t="s">
        <v>59</v>
      </c>
      <c r="B274" s="33">
        <v>45101</v>
      </c>
      <c r="C274" s="29" t="s">
        <v>11</v>
      </c>
      <c r="D274" s="29">
        <v>50</v>
      </c>
      <c r="F274" s="34">
        <f t="shared" si="4"/>
        <v>-50</v>
      </c>
      <c r="G274" s="34" t="s">
        <v>12</v>
      </c>
      <c r="H274" s="34" t="str">
        <f>VLOOKUP(Transactions[[#This Row],[Sub-category]],TblDV45[#All],2)</f>
        <v>Dining Out</v>
      </c>
      <c r="I274" s="34" t="str">
        <f>VLOOKUP(Transactions[[#This Row],[Sub-category]],TblDV45[#All],3)</f>
        <v>Expense</v>
      </c>
    </row>
    <row r="275" spans="1:9" x14ac:dyDescent="0.3">
      <c r="A275" s="29" t="s">
        <v>59</v>
      </c>
      <c r="B275" s="33">
        <v>45102</v>
      </c>
      <c r="C275" s="29" t="s">
        <v>11</v>
      </c>
      <c r="D275" s="29">
        <v>50</v>
      </c>
      <c r="F275" s="34">
        <f t="shared" si="4"/>
        <v>-50</v>
      </c>
      <c r="G275" s="34" t="s">
        <v>12</v>
      </c>
      <c r="H275" s="34" t="str">
        <f>VLOOKUP(Transactions[[#This Row],[Sub-category]],TblDV45[#All],2)</f>
        <v>Dining Out</v>
      </c>
      <c r="I275" s="34" t="str">
        <f>VLOOKUP(Transactions[[#This Row],[Sub-category]],TblDV45[#All],3)</f>
        <v>Expense</v>
      </c>
    </row>
    <row r="276" spans="1:9" x14ac:dyDescent="0.3">
      <c r="A276" s="29" t="s">
        <v>59</v>
      </c>
      <c r="B276" s="33">
        <v>45103</v>
      </c>
      <c r="C276" s="29" t="s">
        <v>11</v>
      </c>
      <c r="D276" s="29">
        <v>50</v>
      </c>
      <c r="F276" s="34">
        <f t="shared" si="4"/>
        <v>-50</v>
      </c>
      <c r="G276" s="34" t="s">
        <v>12</v>
      </c>
      <c r="H276" s="34" t="str">
        <f>VLOOKUP(Transactions[[#This Row],[Sub-category]],TblDV45[#All],2)</f>
        <v>Dining Out</v>
      </c>
      <c r="I276" s="34" t="str">
        <f>VLOOKUP(Transactions[[#This Row],[Sub-category]],TblDV45[#All],3)</f>
        <v>Expense</v>
      </c>
    </row>
    <row r="277" spans="1:9" x14ac:dyDescent="0.3">
      <c r="A277" s="29" t="s">
        <v>59</v>
      </c>
      <c r="B277" s="33">
        <v>45104</v>
      </c>
      <c r="C277" s="29" t="s">
        <v>11</v>
      </c>
      <c r="D277" s="29">
        <v>50</v>
      </c>
      <c r="F277" s="34">
        <f t="shared" si="4"/>
        <v>-50</v>
      </c>
      <c r="G277" s="34" t="s">
        <v>12</v>
      </c>
      <c r="H277" s="34" t="str">
        <f>VLOOKUP(Transactions[[#This Row],[Sub-category]],TblDV45[#All],2)</f>
        <v>Dining Out</v>
      </c>
      <c r="I277" s="34" t="str">
        <f>VLOOKUP(Transactions[[#This Row],[Sub-category]],TblDV45[#All],3)</f>
        <v>Expense</v>
      </c>
    </row>
    <row r="278" spans="1:9" x14ac:dyDescent="0.3">
      <c r="A278" s="29" t="s">
        <v>59</v>
      </c>
      <c r="B278" s="33">
        <v>45104</v>
      </c>
      <c r="C278" s="29" t="s">
        <v>17</v>
      </c>
      <c r="D278" s="29">
        <v>166.9</v>
      </c>
      <c r="F278" s="34">
        <f t="shared" si="4"/>
        <v>-166.9</v>
      </c>
      <c r="G278" s="34" t="s">
        <v>18</v>
      </c>
      <c r="H278" s="34" t="str">
        <f>VLOOKUP(Transactions[[#This Row],[Sub-category]],TblDV45[#All],2)</f>
        <v>Living Expenses</v>
      </c>
      <c r="I278" s="34" t="str">
        <f>VLOOKUP(Transactions[[#This Row],[Sub-category]],TblDV45[#All],3)</f>
        <v>Expense</v>
      </c>
    </row>
    <row r="279" spans="1:9" x14ac:dyDescent="0.3">
      <c r="A279" s="29" t="s">
        <v>59</v>
      </c>
      <c r="B279" s="33">
        <v>45105</v>
      </c>
      <c r="C279" s="29" t="s">
        <v>39</v>
      </c>
      <c r="D279" s="29">
        <v>1800.3</v>
      </c>
      <c r="F279" s="34">
        <f t="shared" si="4"/>
        <v>-1800.3</v>
      </c>
      <c r="G279" s="34" t="s">
        <v>24</v>
      </c>
      <c r="H279" s="34" t="str">
        <f>VLOOKUP(Transactions[[#This Row],[Sub-category]],TblDV45[#All],2)</f>
        <v>Discretionary</v>
      </c>
      <c r="I279" s="34" t="str">
        <f>VLOOKUP(Transactions[[#This Row],[Sub-category]],TblDV45[#All],3)</f>
        <v>Expense</v>
      </c>
    </row>
    <row r="280" spans="1:9" x14ac:dyDescent="0.3">
      <c r="A280" s="29" t="s">
        <v>59</v>
      </c>
      <c r="B280" s="33">
        <v>45106</v>
      </c>
      <c r="C280" s="29" t="s">
        <v>46</v>
      </c>
      <c r="D280" s="29">
        <v>350.1</v>
      </c>
      <c r="F280" s="34">
        <f t="shared" si="4"/>
        <v>-350.1</v>
      </c>
      <c r="G280" s="34" t="s">
        <v>25</v>
      </c>
      <c r="H280" s="34" t="str">
        <f>VLOOKUP(Transactions[[#This Row],[Sub-category]],TblDV45[#All],2)</f>
        <v>Discretionary</v>
      </c>
      <c r="I280" s="34" t="str">
        <f>VLOOKUP(Transactions[[#This Row],[Sub-category]],TblDV45[#All],3)</f>
        <v>Expense</v>
      </c>
    </row>
    <row r="281" spans="1:9" x14ac:dyDescent="0.3">
      <c r="A281" s="29" t="s">
        <v>59</v>
      </c>
      <c r="B281" s="33">
        <v>45106</v>
      </c>
      <c r="C281" s="29" t="s">
        <v>27</v>
      </c>
      <c r="D281" s="29">
        <v>120</v>
      </c>
      <c r="F281" s="34">
        <f t="shared" si="4"/>
        <v>-120</v>
      </c>
      <c r="G281" s="34" t="s">
        <v>28</v>
      </c>
      <c r="H281" s="34" t="str">
        <f>VLOOKUP(Transactions[[#This Row],[Sub-category]],TblDV45[#All],2)</f>
        <v>Transport</v>
      </c>
      <c r="I281" s="34" t="str">
        <f>VLOOKUP(Transactions[[#This Row],[Sub-category]],TblDV45[#All],3)</f>
        <v>Expense</v>
      </c>
    </row>
    <row r="282" spans="1:9" x14ac:dyDescent="0.3">
      <c r="A282" s="29" t="s">
        <v>59</v>
      </c>
      <c r="B282" s="33">
        <v>45106</v>
      </c>
      <c r="C282" s="29" t="s">
        <v>43</v>
      </c>
      <c r="D282" s="29">
        <v>250</v>
      </c>
      <c r="F282" s="34">
        <f t="shared" si="4"/>
        <v>-250</v>
      </c>
      <c r="G282" s="34" t="s">
        <v>26</v>
      </c>
      <c r="H282" s="34" t="str">
        <f>VLOOKUP(Transactions[[#This Row],[Sub-category]],TblDV45[#All],2)</f>
        <v>Dining Out</v>
      </c>
      <c r="I282" s="34" t="str">
        <f>VLOOKUP(Transactions[[#This Row],[Sub-category]],TblDV45[#All],3)</f>
        <v>Expense</v>
      </c>
    </row>
    <row r="283" spans="1:9" x14ac:dyDescent="0.3">
      <c r="A283" s="29" t="s">
        <v>59</v>
      </c>
      <c r="B283" s="33">
        <v>45107</v>
      </c>
      <c r="C283" s="29" t="s">
        <v>11</v>
      </c>
      <c r="D283" s="29">
        <v>50</v>
      </c>
      <c r="F283" s="34">
        <f t="shared" si="4"/>
        <v>-50</v>
      </c>
      <c r="G283" s="34" t="s">
        <v>12</v>
      </c>
      <c r="H283" s="34" t="str">
        <f>VLOOKUP(Transactions[[#This Row],[Sub-category]],TblDV45[#All],2)</f>
        <v>Dining Out</v>
      </c>
      <c r="I283" s="34" t="str">
        <f>VLOOKUP(Transactions[[#This Row],[Sub-category]],TblDV45[#All],3)</f>
        <v>Expense</v>
      </c>
    </row>
    <row r="284" spans="1:9" x14ac:dyDescent="0.3">
      <c r="A284" s="29" t="s">
        <v>59</v>
      </c>
      <c r="B284" s="33">
        <v>45108</v>
      </c>
      <c r="C284" s="29" t="s">
        <v>11</v>
      </c>
      <c r="D284" s="29">
        <v>50</v>
      </c>
      <c r="F284" s="34">
        <f t="shared" si="4"/>
        <v>-50</v>
      </c>
      <c r="G284" s="34" t="s">
        <v>12</v>
      </c>
      <c r="H284" s="34" t="str">
        <f>VLOOKUP(Transactions[[#This Row],[Sub-category]],TblDV45[#All],2)</f>
        <v>Dining Out</v>
      </c>
      <c r="I284" s="34" t="str">
        <f>VLOOKUP(Transactions[[#This Row],[Sub-category]],TblDV45[#All],3)</f>
        <v>Expense</v>
      </c>
    </row>
    <row r="285" spans="1:9" x14ac:dyDescent="0.3">
      <c r="A285" s="29" t="s">
        <v>58</v>
      </c>
      <c r="B285" s="33">
        <v>45109</v>
      </c>
      <c r="C285" s="29" t="s">
        <v>9</v>
      </c>
      <c r="E285" s="29">
        <v>30000</v>
      </c>
      <c r="F285" s="34">
        <f t="shared" si="4"/>
        <v>30000</v>
      </c>
      <c r="G285" s="34" t="s">
        <v>10</v>
      </c>
      <c r="H285" s="34" t="str">
        <f>VLOOKUP(Transactions[[#This Row],[Sub-category]],TblDV45[#All],2)</f>
        <v>Salary</v>
      </c>
      <c r="I285" s="34" t="str">
        <f>VLOOKUP(Transactions[[#This Row],[Sub-category]],TblDV45[#All],3)</f>
        <v>Income</v>
      </c>
    </row>
    <row r="286" spans="1:9" x14ac:dyDescent="0.3">
      <c r="A286" s="29" t="s">
        <v>59</v>
      </c>
      <c r="B286" s="33">
        <v>45110</v>
      </c>
      <c r="C286" s="29" t="s">
        <v>11</v>
      </c>
      <c r="D286" s="29">
        <v>50</v>
      </c>
      <c r="F286" s="34">
        <f t="shared" si="4"/>
        <v>-50</v>
      </c>
      <c r="G286" s="34" t="s">
        <v>12</v>
      </c>
      <c r="H286" s="34" t="str">
        <f>VLOOKUP(Transactions[[#This Row],[Sub-category]],TblDV45[#All],2)</f>
        <v>Dining Out</v>
      </c>
      <c r="I286" s="34" t="str">
        <f>VLOOKUP(Transactions[[#This Row],[Sub-category]],TblDV45[#All],3)</f>
        <v>Expense</v>
      </c>
    </row>
    <row r="287" spans="1:9" x14ac:dyDescent="0.3">
      <c r="A287" s="29" t="s">
        <v>58</v>
      </c>
      <c r="B287" s="33">
        <v>45112</v>
      </c>
      <c r="C287" s="29" t="s">
        <v>13</v>
      </c>
      <c r="D287" s="29">
        <v>6000</v>
      </c>
      <c r="F287" s="34">
        <f t="shared" si="4"/>
        <v>-6000</v>
      </c>
      <c r="G287" s="34" t="s">
        <v>14</v>
      </c>
      <c r="H287" s="34" t="str">
        <f>VLOOKUP(Transactions[[#This Row],[Sub-category]],TblDV45[#All],2)</f>
        <v>Living Expenses</v>
      </c>
      <c r="I287" s="34" t="str">
        <f>VLOOKUP(Transactions[[#This Row],[Sub-category]],TblDV45[#All],3)</f>
        <v>Expense</v>
      </c>
    </row>
    <row r="288" spans="1:9" x14ac:dyDescent="0.3">
      <c r="A288" s="29" t="s">
        <v>58</v>
      </c>
      <c r="B288" s="33">
        <v>45112</v>
      </c>
      <c r="C288" s="29" t="s">
        <v>15</v>
      </c>
      <c r="D288" s="29">
        <v>2500</v>
      </c>
      <c r="F288" s="34">
        <f t="shared" si="4"/>
        <v>-2500</v>
      </c>
      <c r="G288" s="34" t="s">
        <v>16</v>
      </c>
      <c r="H288" s="34" t="str">
        <f>VLOOKUP(Transactions[[#This Row],[Sub-category]],TblDV45[#All],2)</f>
        <v>Transport</v>
      </c>
      <c r="I288" s="34" t="str">
        <f>VLOOKUP(Transactions[[#This Row],[Sub-category]],TblDV45[#All],3)</f>
        <v>Expense</v>
      </c>
    </row>
    <row r="289" spans="1:9" x14ac:dyDescent="0.3">
      <c r="A289" s="29" t="s">
        <v>59</v>
      </c>
      <c r="B289" s="33">
        <v>45112</v>
      </c>
      <c r="C289" s="29" t="s">
        <v>11</v>
      </c>
      <c r="D289" s="29">
        <v>50</v>
      </c>
      <c r="F289" s="34">
        <f t="shared" si="4"/>
        <v>-50</v>
      </c>
      <c r="G289" s="34" t="s">
        <v>12</v>
      </c>
      <c r="H289" s="34" t="str">
        <f>VLOOKUP(Transactions[[#This Row],[Sub-category]],TblDV45[#All],2)</f>
        <v>Dining Out</v>
      </c>
      <c r="I289" s="34" t="str">
        <f>VLOOKUP(Transactions[[#This Row],[Sub-category]],TblDV45[#All],3)</f>
        <v>Expense</v>
      </c>
    </row>
    <row r="290" spans="1:9" x14ac:dyDescent="0.3">
      <c r="A290" s="29" t="s">
        <v>59</v>
      </c>
      <c r="B290" s="33">
        <v>45113</v>
      </c>
      <c r="C290" s="29" t="s">
        <v>11</v>
      </c>
      <c r="D290" s="29">
        <v>50</v>
      </c>
      <c r="F290" s="34">
        <f t="shared" si="4"/>
        <v>-50</v>
      </c>
      <c r="G290" s="34" t="s">
        <v>12</v>
      </c>
      <c r="H290" s="34" t="str">
        <f>VLOOKUP(Transactions[[#This Row],[Sub-category]],TblDV45[#All],2)</f>
        <v>Dining Out</v>
      </c>
      <c r="I290" s="34" t="str">
        <f>VLOOKUP(Transactions[[#This Row],[Sub-category]],TblDV45[#All],3)</f>
        <v>Expense</v>
      </c>
    </row>
    <row r="291" spans="1:9" x14ac:dyDescent="0.3">
      <c r="A291" s="29" t="s">
        <v>59</v>
      </c>
      <c r="B291" s="33">
        <v>45114</v>
      </c>
      <c r="C291" s="29" t="s">
        <v>11</v>
      </c>
      <c r="D291" s="29">
        <v>50</v>
      </c>
      <c r="F291" s="34">
        <f t="shared" si="4"/>
        <v>-50</v>
      </c>
      <c r="G291" s="34" t="s">
        <v>12</v>
      </c>
      <c r="H291" s="34" t="str">
        <f>VLOOKUP(Transactions[[#This Row],[Sub-category]],TblDV45[#All],2)</f>
        <v>Dining Out</v>
      </c>
      <c r="I291" s="34" t="str">
        <f>VLOOKUP(Transactions[[#This Row],[Sub-category]],TblDV45[#All],3)</f>
        <v>Expense</v>
      </c>
    </row>
    <row r="292" spans="1:9" x14ac:dyDescent="0.3">
      <c r="A292" s="29" t="s">
        <v>59</v>
      </c>
      <c r="B292" s="33">
        <v>45114</v>
      </c>
      <c r="C292" s="29" t="s">
        <v>17</v>
      </c>
      <c r="D292" s="29">
        <v>180</v>
      </c>
      <c r="F292" s="34">
        <f t="shared" si="4"/>
        <v>-180</v>
      </c>
      <c r="G292" s="34" t="s">
        <v>18</v>
      </c>
      <c r="H292" s="34" t="str">
        <f>VLOOKUP(Transactions[[#This Row],[Sub-category]],TblDV45[#All],2)</f>
        <v>Living Expenses</v>
      </c>
      <c r="I292" s="34" t="str">
        <f>VLOOKUP(Transactions[[#This Row],[Sub-category]],TblDV45[#All],3)</f>
        <v>Expense</v>
      </c>
    </row>
    <row r="293" spans="1:9" x14ac:dyDescent="0.3">
      <c r="A293" s="29" t="s">
        <v>58</v>
      </c>
      <c r="B293" s="33">
        <v>45117</v>
      </c>
      <c r="C293" s="29" t="s">
        <v>19</v>
      </c>
      <c r="D293" s="29">
        <v>1100</v>
      </c>
      <c r="F293" s="34">
        <f t="shared" si="4"/>
        <v>-1100</v>
      </c>
      <c r="G293" s="34" t="s">
        <v>20</v>
      </c>
      <c r="H293" s="34" t="str">
        <f>VLOOKUP(Transactions[[#This Row],[Sub-category]],TblDV45[#All],2)</f>
        <v>Living Expenses</v>
      </c>
      <c r="I293" s="34" t="str">
        <f>VLOOKUP(Transactions[[#This Row],[Sub-category]],TblDV45[#All],3)</f>
        <v>Expense</v>
      </c>
    </row>
    <row r="294" spans="1:9" x14ac:dyDescent="0.3">
      <c r="A294" s="29" t="s">
        <v>59</v>
      </c>
      <c r="B294" s="33">
        <v>45117</v>
      </c>
      <c r="C294" s="29" t="s">
        <v>11</v>
      </c>
      <c r="D294" s="29">
        <v>50</v>
      </c>
      <c r="F294" s="34">
        <f t="shared" si="4"/>
        <v>-50</v>
      </c>
      <c r="G294" s="34" t="s">
        <v>12</v>
      </c>
      <c r="H294" s="34" t="str">
        <f>VLOOKUP(Transactions[[#This Row],[Sub-category]],TblDV45[#All],2)</f>
        <v>Dining Out</v>
      </c>
      <c r="I294" s="34" t="str">
        <f>VLOOKUP(Transactions[[#This Row],[Sub-category]],TblDV45[#All],3)</f>
        <v>Expense</v>
      </c>
    </row>
    <row r="295" spans="1:9" x14ac:dyDescent="0.3">
      <c r="A295" s="29" t="s">
        <v>59</v>
      </c>
      <c r="B295" s="33">
        <v>45118</v>
      </c>
      <c r="C295" s="29" t="s">
        <v>11</v>
      </c>
      <c r="D295" s="29">
        <v>50</v>
      </c>
      <c r="F295" s="34">
        <f t="shared" si="4"/>
        <v>-50</v>
      </c>
      <c r="G295" s="34" t="s">
        <v>12</v>
      </c>
      <c r="H295" s="34" t="str">
        <f>VLOOKUP(Transactions[[#This Row],[Sub-category]],TblDV45[#All],2)</f>
        <v>Dining Out</v>
      </c>
      <c r="I295" s="34" t="str">
        <f>VLOOKUP(Transactions[[#This Row],[Sub-category]],TblDV45[#All],3)</f>
        <v>Expense</v>
      </c>
    </row>
    <row r="296" spans="1:9" x14ac:dyDescent="0.3">
      <c r="A296" s="29" t="s">
        <v>59</v>
      </c>
      <c r="B296" s="33">
        <v>45119</v>
      </c>
      <c r="C296" s="29" t="s">
        <v>21</v>
      </c>
      <c r="D296" s="29">
        <v>300</v>
      </c>
      <c r="F296" s="34">
        <f t="shared" si="4"/>
        <v>-300</v>
      </c>
      <c r="G296" s="34" t="s">
        <v>22</v>
      </c>
      <c r="H296" s="34" t="str">
        <f>VLOOKUP(Transactions[[#This Row],[Sub-category]],TblDV45[#All],2)</f>
        <v>Transport</v>
      </c>
      <c r="I296" s="34" t="str">
        <f>VLOOKUP(Transactions[[#This Row],[Sub-category]],TblDV45[#All],3)</f>
        <v>Expense</v>
      </c>
    </row>
    <row r="297" spans="1:9" x14ac:dyDescent="0.3">
      <c r="A297" s="29" t="s">
        <v>59</v>
      </c>
      <c r="B297" s="33">
        <v>45119</v>
      </c>
      <c r="C297" s="29" t="s">
        <v>11</v>
      </c>
      <c r="D297" s="29">
        <v>50</v>
      </c>
      <c r="F297" s="34">
        <f t="shared" si="4"/>
        <v>-50</v>
      </c>
      <c r="G297" s="34" t="s">
        <v>12</v>
      </c>
      <c r="H297" s="34" t="str">
        <f>VLOOKUP(Transactions[[#This Row],[Sub-category]],TblDV45[#All],2)</f>
        <v>Dining Out</v>
      </c>
      <c r="I297" s="34" t="str">
        <f>VLOOKUP(Transactions[[#This Row],[Sub-category]],TblDV45[#All],3)</f>
        <v>Expense</v>
      </c>
    </row>
    <row r="298" spans="1:9" x14ac:dyDescent="0.3">
      <c r="A298" s="29" t="s">
        <v>59</v>
      </c>
      <c r="B298" s="33">
        <v>45120</v>
      </c>
      <c r="C298" s="29" t="s">
        <v>11</v>
      </c>
      <c r="D298" s="29">
        <v>50</v>
      </c>
      <c r="F298" s="34">
        <f t="shared" si="4"/>
        <v>-50</v>
      </c>
      <c r="G298" s="34" t="s">
        <v>12</v>
      </c>
      <c r="H298" s="34" t="str">
        <f>VLOOKUP(Transactions[[#This Row],[Sub-category]],TblDV45[#All],2)</f>
        <v>Dining Out</v>
      </c>
      <c r="I298" s="34" t="str">
        <f>VLOOKUP(Transactions[[#This Row],[Sub-category]],TblDV45[#All],3)</f>
        <v>Expense</v>
      </c>
    </row>
    <row r="299" spans="1:9" x14ac:dyDescent="0.3">
      <c r="A299" s="29" t="s">
        <v>59</v>
      </c>
      <c r="B299" s="33">
        <v>45121</v>
      </c>
      <c r="C299" s="29" t="s">
        <v>17</v>
      </c>
      <c r="D299" s="29">
        <v>141.1</v>
      </c>
      <c r="F299" s="34">
        <f t="shared" si="4"/>
        <v>-141.1</v>
      </c>
      <c r="G299" s="34" t="s">
        <v>18</v>
      </c>
      <c r="H299" s="34" t="str">
        <f>VLOOKUP(Transactions[[#This Row],[Sub-category]],TblDV45[#All],2)</f>
        <v>Living Expenses</v>
      </c>
      <c r="I299" s="34" t="str">
        <f>VLOOKUP(Transactions[[#This Row],[Sub-category]],TblDV45[#All],3)</f>
        <v>Expense</v>
      </c>
    </row>
    <row r="300" spans="1:9" x14ac:dyDescent="0.3">
      <c r="A300" s="29" t="s">
        <v>59</v>
      </c>
      <c r="B300" s="33">
        <v>45121</v>
      </c>
      <c r="C300" s="29" t="s">
        <v>11</v>
      </c>
      <c r="D300" s="29">
        <v>50</v>
      </c>
      <c r="F300" s="34">
        <f t="shared" si="4"/>
        <v>-50</v>
      </c>
      <c r="G300" s="34" t="s">
        <v>12</v>
      </c>
      <c r="H300" s="34" t="str">
        <f>VLOOKUP(Transactions[[#This Row],[Sub-category]],TblDV45[#All],2)</f>
        <v>Dining Out</v>
      </c>
      <c r="I300" s="34" t="str">
        <f>VLOOKUP(Transactions[[#This Row],[Sub-category]],TblDV45[#All],3)</f>
        <v>Expense</v>
      </c>
    </row>
    <row r="301" spans="1:9" x14ac:dyDescent="0.3">
      <c r="A301" s="29" t="s">
        <v>59</v>
      </c>
      <c r="B301" s="33">
        <v>45122</v>
      </c>
      <c r="C301" s="29" t="s">
        <v>11</v>
      </c>
      <c r="D301" s="29">
        <v>50</v>
      </c>
      <c r="F301" s="34">
        <f t="shared" si="4"/>
        <v>-50</v>
      </c>
      <c r="G301" s="34" t="s">
        <v>12</v>
      </c>
      <c r="H301" s="34" t="str">
        <f>VLOOKUP(Transactions[[#This Row],[Sub-category]],TblDV45[#All],2)</f>
        <v>Dining Out</v>
      </c>
      <c r="I301" s="34" t="str">
        <f>VLOOKUP(Transactions[[#This Row],[Sub-category]],TblDV45[#All],3)</f>
        <v>Expense</v>
      </c>
    </row>
    <row r="302" spans="1:9" x14ac:dyDescent="0.3">
      <c r="A302" s="29" t="s">
        <v>59</v>
      </c>
      <c r="B302" s="33">
        <v>45122</v>
      </c>
      <c r="C302" s="29" t="s">
        <v>23</v>
      </c>
      <c r="D302" s="29">
        <v>140</v>
      </c>
      <c r="F302" s="34">
        <f t="shared" si="4"/>
        <v>-140</v>
      </c>
      <c r="G302" s="34" t="s">
        <v>24</v>
      </c>
      <c r="H302" s="34" t="str">
        <f>VLOOKUP(Transactions[[#This Row],[Sub-category]],TblDV45[#All],2)</f>
        <v>Discretionary</v>
      </c>
      <c r="I302" s="34" t="str">
        <f>VLOOKUP(Transactions[[#This Row],[Sub-category]],TblDV45[#All],3)</f>
        <v>Expense</v>
      </c>
    </row>
    <row r="303" spans="1:9" x14ac:dyDescent="0.3">
      <c r="A303" s="29" t="s">
        <v>59</v>
      </c>
      <c r="B303" s="33">
        <v>45122</v>
      </c>
      <c r="C303" s="29" t="s">
        <v>46</v>
      </c>
      <c r="D303" s="29">
        <v>1000.8</v>
      </c>
      <c r="F303" s="34">
        <f t="shared" si="4"/>
        <v>-1000.8</v>
      </c>
      <c r="G303" s="34" t="s">
        <v>25</v>
      </c>
      <c r="H303" s="34" t="str">
        <f>VLOOKUP(Transactions[[#This Row],[Sub-category]],TblDV45[#All],2)</f>
        <v>Discretionary</v>
      </c>
      <c r="I303" s="34" t="str">
        <f>VLOOKUP(Transactions[[#This Row],[Sub-category]],TblDV45[#All],3)</f>
        <v>Expense</v>
      </c>
    </row>
    <row r="304" spans="1:9" x14ac:dyDescent="0.3">
      <c r="A304" s="29" t="s">
        <v>59</v>
      </c>
      <c r="B304" s="33">
        <v>45122</v>
      </c>
      <c r="C304" s="29" t="s">
        <v>48</v>
      </c>
      <c r="D304" s="29">
        <v>200</v>
      </c>
      <c r="F304" s="34">
        <f t="shared" si="4"/>
        <v>-200</v>
      </c>
      <c r="G304" s="34" t="s">
        <v>26</v>
      </c>
      <c r="H304" s="34" t="str">
        <f>VLOOKUP(Transactions[[#This Row],[Sub-category]],TblDV45[#All],2)</f>
        <v>Dining Out</v>
      </c>
      <c r="I304" s="34" t="str">
        <f>VLOOKUP(Transactions[[#This Row],[Sub-category]],TblDV45[#All],3)</f>
        <v>Expense</v>
      </c>
    </row>
    <row r="305" spans="1:9" x14ac:dyDescent="0.3">
      <c r="A305" s="29" t="s">
        <v>59</v>
      </c>
      <c r="B305" s="33">
        <v>45123</v>
      </c>
      <c r="C305" s="29" t="s">
        <v>27</v>
      </c>
      <c r="D305" s="29">
        <v>130</v>
      </c>
      <c r="F305" s="34">
        <f t="shared" si="4"/>
        <v>-130</v>
      </c>
      <c r="G305" s="34" t="s">
        <v>28</v>
      </c>
      <c r="H305" s="34" t="str">
        <f>VLOOKUP(Transactions[[#This Row],[Sub-category]],TblDV45[#All],2)</f>
        <v>Transport</v>
      </c>
      <c r="I305" s="34" t="str">
        <f>VLOOKUP(Transactions[[#This Row],[Sub-category]],TblDV45[#All],3)</f>
        <v>Expense</v>
      </c>
    </row>
    <row r="306" spans="1:9" x14ac:dyDescent="0.3">
      <c r="A306" s="29" t="s">
        <v>58</v>
      </c>
      <c r="B306" s="33">
        <v>45124</v>
      </c>
      <c r="C306" s="29" t="s">
        <v>29</v>
      </c>
      <c r="D306" s="29">
        <v>300</v>
      </c>
      <c r="F306" s="34">
        <f t="shared" si="4"/>
        <v>-300</v>
      </c>
      <c r="G306" s="34" t="s">
        <v>30</v>
      </c>
      <c r="H306" s="34" t="str">
        <f>VLOOKUP(Transactions[[#This Row],[Sub-category]],TblDV45[#All],2)</f>
        <v>Discretionary</v>
      </c>
      <c r="I306" s="34" t="str">
        <f>VLOOKUP(Transactions[[#This Row],[Sub-category]],TblDV45[#All],3)</f>
        <v>Expense</v>
      </c>
    </row>
    <row r="307" spans="1:9" x14ac:dyDescent="0.3">
      <c r="A307" s="29" t="s">
        <v>59</v>
      </c>
      <c r="B307" s="33">
        <v>45124</v>
      </c>
      <c r="C307" s="29" t="s">
        <v>11</v>
      </c>
      <c r="D307" s="29">
        <v>50</v>
      </c>
      <c r="F307" s="34">
        <f t="shared" si="4"/>
        <v>-50</v>
      </c>
      <c r="G307" s="34" t="s">
        <v>12</v>
      </c>
      <c r="H307" s="34" t="str">
        <f>VLOOKUP(Transactions[[#This Row],[Sub-category]],TblDV45[#All],2)</f>
        <v>Dining Out</v>
      </c>
      <c r="I307" s="34" t="str">
        <f>VLOOKUP(Transactions[[#This Row],[Sub-category]],TblDV45[#All],3)</f>
        <v>Expense</v>
      </c>
    </row>
    <row r="308" spans="1:9" x14ac:dyDescent="0.3">
      <c r="A308" s="29" t="s">
        <v>59</v>
      </c>
      <c r="B308" s="33">
        <v>45125</v>
      </c>
      <c r="C308" s="29" t="s">
        <v>11</v>
      </c>
      <c r="D308" s="29">
        <v>50</v>
      </c>
      <c r="F308" s="34">
        <f t="shared" si="4"/>
        <v>-50</v>
      </c>
      <c r="G308" s="34" t="s">
        <v>12</v>
      </c>
      <c r="H308" s="34" t="str">
        <f>VLOOKUP(Transactions[[#This Row],[Sub-category]],TblDV45[#All],2)</f>
        <v>Dining Out</v>
      </c>
      <c r="I308" s="34" t="str">
        <f>VLOOKUP(Transactions[[#This Row],[Sub-category]],TblDV45[#All],3)</f>
        <v>Expense</v>
      </c>
    </row>
    <row r="309" spans="1:9" x14ac:dyDescent="0.3">
      <c r="A309" s="29" t="s">
        <v>58</v>
      </c>
      <c r="B309" s="33">
        <v>45125</v>
      </c>
      <c r="C309" s="29" t="s">
        <v>47</v>
      </c>
      <c r="D309" s="29">
        <v>699</v>
      </c>
      <c r="F309" s="34">
        <f t="shared" si="4"/>
        <v>-699</v>
      </c>
      <c r="G309" s="34" t="s">
        <v>33</v>
      </c>
      <c r="H309" s="34" t="str">
        <f>VLOOKUP(Transactions[[#This Row],[Sub-category]],TblDV45[#All],2)</f>
        <v>Living Expenses</v>
      </c>
      <c r="I309" s="34" t="str">
        <f>VLOOKUP(Transactions[[#This Row],[Sub-category]],TblDV45[#All],3)</f>
        <v>Expense</v>
      </c>
    </row>
    <row r="310" spans="1:9" x14ac:dyDescent="0.3">
      <c r="A310" s="29" t="s">
        <v>59</v>
      </c>
      <c r="B310" s="33">
        <v>45126</v>
      </c>
      <c r="C310" s="29" t="s">
        <v>34</v>
      </c>
      <c r="D310" s="29">
        <v>500</v>
      </c>
      <c r="F310" s="34">
        <f t="shared" si="4"/>
        <v>-500</v>
      </c>
      <c r="G310" s="34" t="s">
        <v>34</v>
      </c>
      <c r="H310" s="34" t="str">
        <f>VLOOKUP(Transactions[[#This Row],[Sub-category]],TblDV45[#All],2)</f>
        <v>Discretionary</v>
      </c>
      <c r="I310" s="34" t="str">
        <f>VLOOKUP(Transactions[[#This Row],[Sub-category]],TblDV45[#All],3)</f>
        <v>Expense</v>
      </c>
    </row>
    <row r="311" spans="1:9" x14ac:dyDescent="0.3">
      <c r="A311" s="29" t="s">
        <v>59</v>
      </c>
      <c r="B311" s="33">
        <v>45126</v>
      </c>
      <c r="C311" s="29" t="s">
        <v>35</v>
      </c>
      <c r="D311" s="29">
        <v>500</v>
      </c>
      <c r="F311" s="34">
        <f t="shared" si="4"/>
        <v>-500</v>
      </c>
      <c r="G311" s="34" t="s">
        <v>24</v>
      </c>
      <c r="H311" s="34" t="str">
        <f>VLOOKUP(Transactions[[#This Row],[Sub-category]],TblDV45[#All],2)</f>
        <v>Discretionary</v>
      </c>
      <c r="I311" s="34" t="str">
        <f>VLOOKUP(Transactions[[#This Row],[Sub-category]],TblDV45[#All],3)</f>
        <v>Expense</v>
      </c>
    </row>
    <row r="312" spans="1:9" x14ac:dyDescent="0.3">
      <c r="A312" s="29" t="s">
        <v>59</v>
      </c>
      <c r="B312" s="33">
        <v>45126</v>
      </c>
      <c r="C312" s="29" t="s">
        <v>11</v>
      </c>
      <c r="D312" s="29">
        <v>50</v>
      </c>
      <c r="F312" s="34">
        <f t="shared" si="4"/>
        <v>-50</v>
      </c>
      <c r="G312" s="34" t="s">
        <v>12</v>
      </c>
      <c r="H312" s="34" t="str">
        <f>VLOOKUP(Transactions[[#This Row],[Sub-category]],TblDV45[#All],2)</f>
        <v>Dining Out</v>
      </c>
      <c r="I312" s="34" t="str">
        <f>VLOOKUP(Transactions[[#This Row],[Sub-category]],TblDV45[#All],3)</f>
        <v>Expense</v>
      </c>
    </row>
    <row r="313" spans="1:9" x14ac:dyDescent="0.3">
      <c r="A313" s="29" t="s">
        <v>59</v>
      </c>
      <c r="B313" s="33">
        <v>45127</v>
      </c>
      <c r="C313" s="29" t="s">
        <v>11</v>
      </c>
      <c r="D313" s="29">
        <v>50</v>
      </c>
      <c r="F313" s="34">
        <f t="shared" ref="F313:F374" si="5">E313-D313</f>
        <v>-50</v>
      </c>
      <c r="G313" s="34" t="s">
        <v>12</v>
      </c>
      <c r="H313" s="34" t="str">
        <f>VLOOKUP(Transactions[[#This Row],[Sub-category]],TblDV45[#All],2)</f>
        <v>Dining Out</v>
      </c>
      <c r="I313" s="34" t="str">
        <f>VLOOKUP(Transactions[[#This Row],[Sub-category]],TblDV45[#All],3)</f>
        <v>Expense</v>
      </c>
    </row>
    <row r="314" spans="1:9" x14ac:dyDescent="0.3">
      <c r="A314" s="29" t="s">
        <v>59</v>
      </c>
      <c r="B314" s="33">
        <v>45128</v>
      </c>
      <c r="C314" s="29" t="s">
        <v>11</v>
      </c>
      <c r="D314" s="29">
        <v>50</v>
      </c>
      <c r="F314" s="34">
        <f t="shared" si="5"/>
        <v>-50</v>
      </c>
      <c r="G314" s="34" t="s">
        <v>12</v>
      </c>
      <c r="H314" s="34" t="str">
        <f>VLOOKUP(Transactions[[#This Row],[Sub-category]],TblDV45[#All],2)</f>
        <v>Dining Out</v>
      </c>
      <c r="I314" s="34" t="str">
        <f>VLOOKUP(Transactions[[#This Row],[Sub-category]],TblDV45[#All],3)</f>
        <v>Expense</v>
      </c>
    </row>
    <row r="315" spans="1:9" x14ac:dyDescent="0.3">
      <c r="A315" s="29" t="s">
        <v>59</v>
      </c>
      <c r="B315" s="33">
        <v>45128</v>
      </c>
      <c r="C315" s="29" t="s">
        <v>17</v>
      </c>
      <c r="D315" s="29">
        <v>176</v>
      </c>
      <c r="F315" s="34">
        <f t="shared" si="5"/>
        <v>-176</v>
      </c>
      <c r="G315" s="34" t="s">
        <v>18</v>
      </c>
      <c r="H315" s="34" t="str">
        <f>VLOOKUP(Transactions[[#This Row],[Sub-category]],TblDV45[#All],2)</f>
        <v>Living Expenses</v>
      </c>
      <c r="I315" s="34" t="str">
        <f>VLOOKUP(Transactions[[#This Row],[Sub-category]],TblDV45[#All],3)</f>
        <v>Expense</v>
      </c>
    </row>
    <row r="316" spans="1:9" x14ac:dyDescent="0.3">
      <c r="A316" s="29" t="s">
        <v>59</v>
      </c>
      <c r="B316" s="33">
        <v>45129</v>
      </c>
      <c r="C316" s="29" t="s">
        <v>60</v>
      </c>
      <c r="D316" s="29">
        <v>599</v>
      </c>
      <c r="F316" s="34">
        <f t="shared" si="5"/>
        <v>-599</v>
      </c>
      <c r="G316" s="34" t="s">
        <v>26</v>
      </c>
      <c r="H316" s="34" t="str">
        <f>VLOOKUP(Transactions[[#This Row],[Sub-category]],TblDV45[#All],2)</f>
        <v>Dining Out</v>
      </c>
      <c r="I316" s="34" t="str">
        <f>VLOOKUP(Transactions[[#This Row],[Sub-category]],TblDV45[#All],3)</f>
        <v>Expense</v>
      </c>
    </row>
    <row r="317" spans="1:9" x14ac:dyDescent="0.3">
      <c r="A317" s="29" t="s">
        <v>59</v>
      </c>
      <c r="B317" s="33">
        <v>45130</v>
      </c>
      <c r="C317" s="29" t="s">
        <v>36</v>
      </c>
      <c r="D317" s="29">
        <v>18.2</v>
      </c>
      <c r="F317" s="34">
        <f t="shared" si="5"/>
        <v>-18.2</v>
      </c>
      <c r="G317" s="34" t="s">
        <v>26</v>
      </c>
      <c r="H317" s="34" t="str">
        <f>VLOOKUP(Transactions[[#This Row],[Sub-category]],TblDV45[#All],2)</f>
        <v>Dining Out</v>
      </c>
      <c r="I317" s="34" t="str">
        <f>VLOOKUP(Transactions[[#This Row],[Sub-category]],TblDV45[#All],3)</f>
        <v>Expense</v>
      </c>
    </row>
    <row r="318" spans="1:9" x14ac:dyDescent="0.3">
      <c r="A318" s="29" t="s">
        <v>58</v>
      </c>
      <c r="B318" s="33">
        <v>45131</v>
      </c>
      <c r="C318" s="29" t="s">
        <v>37</v>
      </c>
      <c r="D318" s="29">
        <v>551</v>
      </c>
      <c r="F318" s="34">
        <f t="shared" si="5"/>
        <v>-551</v>
      </c>
      <c r="G318" s="34" t="s">
        <v>38</v>
      </c>
      <c r="H318" s="34" t="str">
        <f>VLOOKUP(Transactions[[#This Row],[Sub-category]],TblDV45[#All],2)</f>
        <v>Charity</v>
      </c>
      <c r="I318" s="34" t="str">
        <f>VLOOKUP(Transactions[[#This Row],[Sub-category]],TblDV45[#All],3)</f>
        <v>Expense</v>
      </c>
    </row>
    <row r="319" spans="1:9" x14ac:dyDescent="0.3">
      <c r="A319" s="29" t="s">
        <v>59</v>
      </c>
      <c r="B319" s="33">
        <v>45131</v>
      </c>
      <c r="C319" s="29" t="s">
        <v>21</v>
      </c>
      <c r="D319" s="29">
        <v>300</v>
      </c>
      <c r="F319" s="34">
        <f t="shared" si="5"/>
        <v>-300</v>
      </c>
      <c r="G319" s="34" t="s">
        <v>22</v>
      </c>
      <c r="H319" s="34" t="str">
        <f>VLOOKUP(Transactions[[#This Row],[Sub-category]],TblDV45[#All],2)</f>
        <v>Transport</v>
      </c>
      <c r="I319" s="34" t="str">
        <f>VLOOKUP(Transactions[[#This Row],[Sub-category]],TblDV45[#All],3)</f>
        <v>Expense</v>
      </c>
    </row>
    <row r="320" spans="1:9" x14ac:dyDescent="0.3">
      <c r="A320" s="29" t="s">
        <v>59</v>
      </c>
      <c r="B320" s="33">
        <v>45131</v>
      </c>
      <c r="C320" s="29" t="s">
        <v>11</v>
      </c>
      <c r="D320" s="29">
        <v>50</v>
      </c>
      <c r="F320" s="34">
        <f t="shared" si="5"/>
        <v>-50</v>
      </c>
      <c r="G320" s="34" t="s">
        <v>12</v>
      </c>
      <c r="H320" s="34" t="str">
        <f>VLOOKUP(Transactions[[#This Row],[Sub-category]],TblDV45[#All],2)</f>
        <v>Dining Out</v>
      </c>
      <c r="I320" s="34" t="str">
        <f>VLOOKUP(Transactions[[#This Row],[Sub-category]],TblDV45[#All],3)</f>
        <v>Expense</v>
      </c>
    </row>
    <row r="321" spans="1:9" x14ac:dyDescent="0.3">
      <c r="A321" s="29" t="s">
        <v>59</v>
      </c>
      <c r="B321" s="33">
        <v>45132</v>
      </c>
      <c r="C321" s="29" t="s">
        <v>11</v>
      </c>
      <c r="D321" s="29">
        <v>50</v>
      </c>
      <c r="F321" s="34">
        <f t="shared" si="5"/>
        <v>-50</v>
      </c>
      <c r="G321" s="34" t="s">
        <v>12</v>
      </c>
      <c r="H321" s="34" t="str">
        <f>VLOOKUP(Transactions[[#This Row],[Sub-category]],TblDV45[#All],2)</f>
        <v>Dining Out</v>
      </c>
      <c r="I321" s="34" t="str">
        <f>VLOOKUP(Transactions[[#This Row],[Sub-category]],TblDV45[#All],3)</f>
        <v>Expense</v>
      </c>
    </row>
    <row r="322" spans="1:9" x14ac:dyDescent="0.3">
      <c r="A322" s="29" t="s">
        <v>59</v>
      </c>
      <c r="B322" s="33">
        <v>45133</v>
      </c>
      <c r="C322" s="29" t="s">
        <v>11</v>
      </c>
      <c r="D322" s="29">
        <v>50</v>
      </c>
      <c r="F322" s="34">
        <f t="shared" si="5"/>
        <v>-50</v>
      </c>
      <c r="G322" s="34" t="s">
        <v>12</v>
      </c>
      <c r="H322" s="34" t="str">
        <f>VLOOKUP(Transactions[[#This Row],[Sub-category]],TblDV45[#All],2)</f>
        <v>Dining Out</v>
      </c>
      <c r="I322" s="34" t="str">
        <f>VLOOKUP(Transactions[[#This Row],[Sub-category]],TblDV45[#All],3)</f>
        <v>Expense</v>
      </c>
    </row>
    <row r="323" spans="1:9" x14ac:dyDescent="0.3">
      <c r="A323" s="29" t="s">
        <v>59</v>
      </c>
      <c r="B323" s="33">
        <v>45134</v>
      </c>
      <c r="C323" s="29" t="s">
        <v>11</v>
      </c>
      <c r="D323" s="29">
        <v>50</v>
      </c>
      <c r="F323" s="34">
        <f t="shared" si="5"/>
        <v>-50</v>
      </c>
      <c r="G323" s="34" t="s">
        <v>12</v>
      </c>
      <c r="H323" s="34" t="str">
        <f>VLOOKUP(Transactions[[#This Row],[Sub-category]],TblDV45[#All],2)</f>
        <v>Dining Out</v>
      </c>
      <c r="I323" s="34" t="str">
        <f>VLOOKUP(Transactions[[#This Row],[Sub-category]],TblDV45[#All],3)</f>
        <v>Expense</v>
      </c>
    </row>
    <row r="324" spans="1:9" x14ac:dyDescent="0.3">
      <c r="A324" s="29" t="s">
        <v>59</v>
      </c>
      <c r="B324" s="33">
        <v>45135</v>
      </c>
      <c r="C324" s="29" t="s">
        <v>11</v>
      </c>
      <c r="D324" s="29">
        <v>50</v>
      </c>
      <c r="F324" s="34">
        <f t="shared" si="5"/>
        <v>-50</v>
      </c>
      <c r="G324" s="34" t="s">
        <v>12</v>
      </c>
      <c r="H324" s="34" t="str">
        <f>VLOOKUP(Transactions[[#This Row],[Sub-category]],TblDV45[#All],2)</f>
        <v>Dining Out</v>
      </c>
      <c r="I324" s="34" t="str">
        <f>VLOOKUP(Transactions[[#This Row],[Sub-category]],TblDV45[#All],3)</f>
        <v>Expense</v>
      </c>
    </row>
    <row r="325" spans="1:9" x14ac:dyDescent="0.3">
      <c r="A325" s="29" t="s">
        <v>59</v>
      </c>
      <c r="B325" s="33">
        <v>45135</v>
      </c>
      <c r="C325" s="29" t="s">
        <v>17</v>
      </c>
      <c r="D325" s="29">
        <v>193</v>
      </c>
      <c r="F325" s="34">
        <f t="shared" si="5"/>
        <v>-193</v>
      </c>
      <c r="G325" s="34" t="s">
        <v>18</v>
      </c>
      <c r="H325" s="34" t="str">
        <f>VLOOKUP(Transactions[[#This Row],[Sub-category]],TblDV45[#All],2)</f>
        <v>Living Expenses</v>
      </c>
      <c r="I325" s="34" t="str">
        <f>VLOOKUP(Transactions[[#This Row],[Sub-category]],TblDV45[#All],3)</f>
        <v>Expense</v>
      </c>
    </row>
    <row r="326" spans="1:9" x14ac:dyDescent="0.3">
      <c r="A326" s="29" t="s">
        <v>59</v>
      </c>
      <c r="B326" s="33">
        <v>45136</v>
      </c>
      <c r="C326" s="29" t="s">
        <v>44</v>
      </c>
      <c r="D326" s="29">
        <v>1850.4</v>
      </c>
      <c r="F326" s="34">
        <f t="shared" si="5"/>
        <v>-1850.4</v>
      </c>
      <c r="G326" s="34" t="s">
        <v>45</v>
      </c>
      <c r="H326" s="34" t="str">
        <f>VLOOKUP(Transactions[[#This Row],[Sub-category]],TblDV45[#All],2)</f>
        <v>Discretionary</v>
      </c>
      <c r="I326" s="34" t="str">
        <f>VLOOKUP(Transactions[[#This Row],[Sub-category]],TblDV45[#All],3)</f>
        <v>Expense</v>
      </c>
    </row>
    <row r="327" spans="1:9" x14ac:dyDescent="0.3">
      <c r="A327" s="29" t="s">
        <v>59</v>
      </c>
      <c r="B327" s="33">
        <v>45137</v>
      </c>
      <c r="C327" s="29" t="s">
        <v>46</v>
      </c>
      <c r="D327" s="29">
        <v>1519.2</v>
      </c>
      <c r="F327" s="34">
        <f t="shared" si="5"/>
        <v>-1519.2</v>
      </c>
      <c r="G327" s="34" t="s">
        <v>25</v>
      </c>
      <c r="H327" s="34" t="str">
        <f>VLOOKUP(Transactions[[#This Row],[Sub-category]],TblDV45[#All],2)</f>
        <v>Discretionary</v>
      </c>
      <c r="I327" s="34" t="str">
        <f>VLOOKUP(Transactions[[#This Row],[Sub-category]],TblDV45[#All],3)</f>
        <v>Expense</v>
      </c>
    </row>
    <row r="328" spans="1:9" x14ac:dyDescent="0.3">
      <c r="A328" s="29" t="s">
        <v>59</v>
      </c>
      <c r="B328" s="33">
        <v>45137</v>
      </c>
      <c r="C328" s="29" t="s">
        <v>27</v>
      </c>
      <c r="D328" s="29">
        <v>120</v>
      </c>
      <c r="F328" s="34">
        <f t="shared" si="5"/>
        <v>-120</v>
      </c>
      <c r="G328" s="34" t="s">
        <v>28</v>
      </c>
      <c r="H328" s="34" t="str">
        <f>VLOOKUP(Transactions[[#This Row],[Sub-category]],TblDV45[#All],2)</f>
        <v>Transport</v>
      </c>
      <c r="I328" s="34" t="str">
        <f>VLOOKUP(Transactions[[#This Row],[Sub-category]],TblDV45[#All],3)</f>
        <v>Expense</v>
      </c>
    </row>
    <row r="329" spans="1:9" x14ac:dyDescent="0.3">
      <c r="A329" s="29" t="s">
        <v>59</v>
      </c>
      <c r="B329" s="33">
        <v>45137</v>
      </c>
      <c r="C329" s="29" t="s">
        <v>43</v>
      </c>
      <c r="D329" s="29">
        <v>250</v>
      </c>
      <c r="F329" s="34">
        <f t="shared" si="5"/>
        <v>-250</v>
      </c>
      <c r="G329" s="34" t="s">
        <v>26</v>
      </c>
      <c r="H329" s="34" t="str">
        <f>VLOOKUP(Transactions[[#This Row],[Sub-category]],TblDV45[#All],2)</f>
        <v>Dining Out</v>
      </c>
      <c r="I329" s="34" t="str">
        <f>VLOOKUP(Transactions[[#This Row],[Sub-category]],TblDV45[#All],3)</f>
        <v>Expense</v>
      </c>
    </row>
    <row r="330" spans="1:9" x14ac:dyDescent="0.3">
      <c r="A330" s="29" t="s">
        <v>59</v>
      </c>
      <c r="B330" s="33">
        <v>45138</v>
      </c>
      <c r="C330" s="29" t="s">
        <v>11</v>
      </c>
      <c r="D330" s="29">
        <v>50</v>
      </c>
      <c r="F330" s="34">
        <f t="shared" si="5"/>
        <v>-50</v>
      </c>
      <c r="G330" s="34" t="s">
        <v>12</v>
      </c>
      <c r="H330" s="34" t="str">
        <f>VLOOKUP(Transactions[[#This Row],[Sub-category]],TblDV45[#All],2)</f>
        <v>Dining Out</v>
      </c>
      <c r="I330" s="34" t="str">
        <f>VLOOKUP(Transactions[[#This Row],[Sub-category]],TblDV45[#All],3)</f>
        <v>Expense</v>
      </c>
    </row>
    <row r="331" spans="1:9" x14ac:dyDescent="0.3">
      <c r="A331" s="29" t="s">
        <v>59</v>
      </c>
      <c r="B331" s="33">
        <v>45140</v>
      </c>
      <c r="C331" s="29" t="s">
        <v>11</v>
      </c>
      <c r="D331" s="29">
        <v>50</v>
      </c>
      <c r="F331" s="34">
        <f t="shared" si="5"/>
        <v>-50</v>
      </c>
      <c r="G331" s="34" t="s">
        <v>12</v>
      </c>
      <c r="H331" s="34" t="str">
        <f>VLOOKUP(Transactions[[#This Row],[Sub-category]],TblDV45[#All],2)</f>
        <v>Dining Out</v>
      </c>
      <c r="I331" s="34" t="str">
        <f>VLOOKUP(Transactions[[#This Row],[Sub-category]],TblDV45[#All],3)</f>
        <v>Expense</v>
      </c>
    </row>
    <row r="332" spans="1:9" x14ac:dyDescent="0.3">
      <c r="A332" s="29" t="s">
        <v>58</v>
      </c>
      <c r="B332" s="33">
        <v>45140</v>
      </c>
      <c r="C332" s="29" t="s">
        <v>9</v>
      </c>
      <c r="E332" s="29">
        <v>30000</v>
      </c>
      <c r="F332" s="34">
        <f t="shared" si="5"/>
        <v>30000</v>
      </c>
      <c r="G332" s="34" t="s">
        <v>10</v>
      </c>
      <c r="H332" s="34" t="str">
        <f>VLOOKUP(Transactions[[#This Row],[Sub-category]],TblDV45[#All],2)</f>
        <v>Salary</v>
      </c>
      <c r="I332" s="34" t="str">
        <f>VLOOKUP(Transactions[[#This Row],[Sub-category]],TblDV45[#All],3)</f>
        <v>Income</v>
      </c>
    </row>
    <row r="333" spans="1:9" x14ac:dyDescent="0.3">
      <c r="A333" s="29" t="s">
        <v>59</v>
      </c>
      <c r="B333" s="33">
        <v>45141</v>
      </c>
      <c r="C333" s="29" t="s">
        <v>11</v>
      </c>
      <c r="D333" s="29">
        <v>50</v>
      </c>
      <c r="F333" s="34">
        <f t="shared" si="5"/>
        <v>-50</v>
      </c>
      <c r="G333" s="34" t="s">
        <v>12</v>
      </c>
      <c r="H333" s="34" t="str">
        <f>VLOOKUP(Transactions[[#This Row],[Sub-category]],TblDV45[#All],2)</f>
        <v>Dining Out</v>
      </c>
      <c r="I333" s="34" t="str">
        <f>VLOOKUP(Transactions[[#This Row],[Sub-category]],TblDV45[#All],3)</f>
        <v>Expense</v>
      </c>
    </row>
    <row r="334" spans="1:9" x14ac:dyDescent="0.3">
      <c r="A334" s="29" t="s">
        <v>58</v>
      </c>
      <c r="B334" s="33">
        <v>45143</v>
      </c>
      <c r="C334" s="29" t="s">
        <v>13</v>
      </c>
      <c r="D334" s="29">
        <v>6000</v>
      </c>
      <c r="F334" s="34">
        <f t="shared" si="5"/>
        <v>-6000</v>
      </c>
      <c r="G334" s="34" t="s">
        <v>14</v>
      </c>
      <c r="H334" s="34" t="str">
        <f>VLOOKUP(Transactions[[#This Row],[Sub-category]],TblDV45[#All],2)</f>
        <v>Living Expenses</v>
      </c>
      <c r="I334" s="34" t="str">
        <f>VLOOKUP(Transactions[[#This Row],[Sub-category]],TblDV45[#All],3)</f>
        <v>Expense</v>
      </c>
    </row>
    <row r="335" spans="1:9" x14ac:dyDescent="0.3">
      <c r="A335" s="29" t="s">
        <v>58</v>
      </c>
      <c r="B335" s="33">
        <v>45143</v>
      </c>
      <c r="C335" s="29" t="s">
        <v>15</v>
      </c>
      <c r="D335" s="29">
        <v>2500</v>
      </c>
      <c r="F335" s="34">
        <f t="shared" si="5"/>
        <v>-2500</v>
      </c>
      <c r="G335" s="34" t="s">
        <v>16</v>
      </c>
      <c r="H335" s="34" t="str">
        <f>VLOOKUP(Transactions[[#This Row],[Sub-category]],TblDV45[#All],2)</f>
        <v>Transport</v>
      </c>
      <c r="I335" s="34" t="str">
        <f>VLOOKUP(Transactions[[#This Row],[Sub-category]],TblDV45[#All],3)</f>
        <v>Expense</v>
      </c>
    </row>
    <row r="336" spans="1:9" x14ac:dyDescent="0.3">
      <c r="A336" s="29" t="s">
        <v>59</v>
      </c>
      <c r="B336" s="33">
        <v>45143</v>
      </c>
      <c r="C336" s="29" t="s">
        <v>11</v>
      </c>
      <c r="D336" s="29">
        <v>50</v>
      </c>
      <c r="F336" s="34">
        <f t="shared" si="5"/>
        <v>-50</v>
      </c>
      <c r="G336" s="34" t="s">
        <v>12</v>
      </c>
      <c r="H336" s="34" t="str">
        <f>VLOOKUP(Transactions[[#This Row],[Sub-category]],TblDV45[#All],2)</f>
        <v>Dining Out</v>
      </c>
      <c r="I336" s="34" t="str">
        <f>VLOOKUP(Transactions[[#This Row],[Sub-category]],TblDV45[#All],3)</f>
        <v>Expense</v>
      </c>
    </row>
    <row r="337" spans="1:9" x14ac:dyDescent="0.3">
      <c r="A337" s="29" t="s">
        <v>59</v>
      </c>
      <c r="B337" s="33">
        <v>45143</v>
      </c>
      <c r="C337" s="29" t="s">
        <v>11</v>
      </c>
      <c r="D337" s="29">
        <v>50</v>
      </c>
      <c r="F337" s="34">
        <f t="shared" si="5"/>
        <v>-50</v>
      </c>
      <c r="G337" s="34" t="s">
        <v>12</v>
      </c>
      <c r="H337" s="34" t="str">
        <f>VLOOKUP(Transactions[[#This Row],[Sub-category]],TblDV45[#All],2)</f>
        <v>Dining Out</v>
      </c>
      <c r="I337" s="34" t="str">
        <f>VLOOKUP(Transactions[[#This Row],[Sub-category]],TblDV45[#All],3)</f>
        <v>Expense</v>
      </c>
    </row>
    <row r="338" spans="1:9" x14ac:dyDescent="0.3">
      <c r="A338" s="29" t="s">
        <v>59</v>
      </c>
      <c r="B338" s="33">
        <v>45144</v>
      </c>
      <c r="C338" s="29" t="s">
        <v>11</v>
      </c>
      <c r="D338" s="29">
        <v>50</v>
      </c>
      <c r="F338" s="34">
        <f t="shared" si="5"/>
        <v>-50</v>
      </c>
      <c r="G338" s="34" t="s">
        <v>12</v>
      </c>
      <c r="H338" s="34" t="str">
        <f>VLOOKUP(Transactions[[#This Row],[Sub-category]],TblDV45[#All],2)</f>
        <v>Dining Out</v>
      </c>
      <c r="I338" s="34" t="str">
        <f>VLOOKUP(Transactions[[#This Row],[Sub-category]],TblDV45[#All],3)</f>
        <v>Expense</v>
      </c>
    </row>
    <row r="339" spans="1:9" x14ac:dyDescent="0.3">
      <c r="A339" s="29" t="s">
        <v>59</v>
      </c>
      <c r="B339" s="33">
        <v>45145</v>
      </c>
      <c r="C339" s="29" t="s">
        <v>11</v>
      </c>
      <c r="D339" s="29">
        <v>50</v>
      </c>
      <c r="F339" s="34">
        <f t="shared" si="5"/>
        <v>-50</v>
      </c>
      <c r="G339" s="34" t="s">
        <v>12</v>
      </c>
      <c r="H339" s="34" t="str">
        <f>VLOOKUP(Transactions[[#This Row],[Sub-category]],TblDV45[#All],2)</f>
        <v>Dining Out</v>
      </c>
      <c r="I339" s="34" t="str">
        <f>VLOOKUP(Transactions[[#This Row],[Sub-category]],TblDV45[#All],3)</f>
        <v>Expense</v>
      </c>
    </row>
    <row r="340" spans="1:9" x14ac:dyDescent="0.3">
      <c r="A340" s="29" t="s">
        <v>59</v>
      </c>
      <c r="B340" s="33">
        <v>45145</v>
      </c>
      <c r="C340" s="29" t="s">
        <v>17</v>
      </c>
      <c r="D340" s="29">
        <v>137</v>
      </c>
      <c r="F340" s="34">
        <f t="shared" si="5"/>
        <v>-137</v>
      </c>
      <c r="G340" s="34" t="s">
        <v>18</v>
      </c>
      <c r="H340" s="34" t="str">
        <f>VLOOKUP(Transactions[[#This Row],[Sub-category]],TblDV45[#All],2)</f>
        <v>Living Expenses</v>
      </c>
      <c r="I340" s="34" t="str">
        <f>VLOOKUP(Transactions[[#This Row],[Sub-category]],TblDV45[#All],3)</f>
        <v>Expense</v>
      </c>
    </row>
    <row r="341" spans="1:9" x14ac:dyDescent="0.3">
      <c r="A341" s="29" t="s">
        <v>58</v>
      </c>
      <c r="B341" s="33">
        <v>45148</v>
      </c>
      <c r="C341" s="29" t="s">
        <v>19</v>
      </c>
      <c r="D341" s="29">
        <v>1200</v>
      </c>
      <c r="F341" s="34">
        <f t="shared" si="5"/>
        <v>-1200</v>
      </c>
      <c r="G341" s="34" t="s">
        <v>20</v>
      </c>
      <c r="H341" s="34" t="str">
        <f>VLOOKUP(Transactions[[#This Row],[Sub-category]],TblDV45[#All],2)</f>
        <v>Living Expenses</v>
      </c>
      <c r="I341" s="34" t="str">
        <f>VLOOKUP(Transactions[[#This Row],[Sub-category]],TblDV45[#All],3)</f>
        <v>Expense</v>
      </c>
    </row>
    <row r="342" spans="1:9" x14ac:dyDescent="0.3">
      <c r="A342" s="29" t="s">
        <v>59</v>
      </c>
      <c r="B342" s="33">
        <v>45148</v>
      </c>
      <c r="C342" s="29" t="s">
        <v>11</v>
      </c>
      <c r="D342" s="29">
        <v>50</v>
      </c>
      <c r="F342" s="34">
        <f t="shared" si="5"/>
        <v>-50</v>
      </c>
      <c r="G342" s="34" t="s">
        <v>12</v>
      </c>
      <c r="H342" s="34" t="str">
        <f>VLOOKUP(Transactions[[#This Row],[Sub-category]],TblDV45[#All],2)</f>
        <v>Dining Out</v>
      </c>
      <c r="I342" s="34" t="str">
        <f>VLOOKUP(Transactions[[#This Row],[Sub-category]],TblDV45[#All],3)</f>
        <v>Expense</v>
      </c>
    </row>
    <row r="343" spans="1:9" x14ac:dyDescent="0.3">
      <c r="A343" s="29" t="s">
        <v>59</v>
      </c>
      <c r="B343" s="33">
        <v>45149</v>
      </c>
      <c r="C343" s="29" t="s">
        <v>11</v>
      </c>
      <c r="D343" s="29">
        <v>50</v>
      </c>
      <c r="F343" s="34">
        <f t="shared" si="5"/>
        <v>-50</v>
      </c>
      <c r="G343" s="34" t="s">
        <v>12</v>
      </c>
      <c r="H343" s="34" t="str">
        <f>VLOOKUP(Transactions[[#This Row],[Sub-category]],TblDV45[#All],2)</f>
        <v>Dining Out</v>
      </c>
      <c r="I343" s="34" t="str">
        <f>VLOOKUP(Transactions[[#This Row],[Sub-category]],TblDV45[#All],3)</f>
        <v>Expense</v>
      </c>
    </row>
    <row r="344" spans="1:9" x14ac:dyDescent="0.3">
      <c r="A344" s="29" t="s">
        <v>59</v>
      </c>
      <c r="B344" s="33">
        <v>45150</v>
      </c>
      <c r="C344" s="29" t="s">
        <v>21</v>
      </c>
      <c r="D344" s="29">
        <v>300</v>
      </c>
      <c r="F344" s="34">
        <f t="shared" si="5"/>
        <v>-300</v>
      </c>
      <c r="G344" s="34" t="s">
        <v>22</v>
      </c>
      <c r="H344" s="34" t="str">
        <f>VLOOKUP(Transactions[[#This Row],[Sub-category]],TblDV45[#All],2)</f>
        <v>Transport</v>
      </c>
      <c r="I344" s="34" t="str">
        <f>VLOOKUP(Transactions[[#This Row],[Sub-category]],TblDV45[#All],3)</f>
        <v>Expense</v>
      </c>
    </row>
    <row r="345" spans="1:9" x14ac:dyDescent="0.3">
      <c r="A345" s="29" t="s">
        <v>59</v>
      </c>
      <c r="B345" s="33">
        <v>45150</v>
      </c>
      <c r="C345" s="29" t="s">
        <v>11</v>
      </c>
      <c r="D345" s="29">
        <v>50</v>
      </c>
      <c r="F345" s="34">
        <f t="shared" si="5"/>
        <v>-50</v>
      </c>
      <c r="G345" s="34" t="s">
        <v>12</v>
      </c>
      <c r="H345" s="34" t="str">
        <f>VLOOKUP(Transactions[[#This Row],[Sub-category]],TblDV45[#All],2)</f>
        <v>Dining Out</v>
      </c>
      <c r="I345" s="34" t="str">
        <f>VLOOKUP(Transactions[[#This Row],[Sub-category]],TblDV45[#All],3)</f>
        <v>Expense</v>
      </c>
    </row>
    <row r="346" spans="1:9" x14ac:dyDescent="0.3">
      <c r="A346" s="29" t="s">
        <v>59</v>
      </c>
      <c r="B346" s="33">
        <v>45151</v>
      </c>
      <c r="C346" s="29" t="s">
        <v>11</v>
      </c>
      <c r="D346" s="29">
        <v>50</v>
      </c>
      <c r="F346" s="34">
        <f t="shared" si="5"/>
        <v>-50</v>
      </c>
      <c r="G346" s="34" t="s">
        <v>12</v>
      </c>
      <c r="H346" s="34" t="str">
        <f>VLOOKUP(Transactions[[#This Row],[Sub-category]],TblDV45[#All],2)</f>
        <v>Dining Out</v>
      </c>
      <c r="I346" s="34" t="str">
        <f>VLOOKUP(Transactions[[#This Row],[Sub-category]],TblDV45[#All],3)</f>
        <v>Expense</v>
      </c>
    </row>
    <row r="347" spans="1:9" x14ac:dyDescent="0.3">
      <c r="A347" s="29" t="s">
        <v>59</v>
      </c>
      <c r="B347" s="33">
        <v>45152</v>
      </c>
      <c r="C347" s="29" t="s">
        <v>17</v>
      </c>
      <c r="D347" s="29">
        <v>142.1</v>
      </c>
      <c r="F347" s="34">
        <f t="shared" si="5"/>
        <v>-142.1</v>
      </c>
      <c r="G347" s="34" t="s">
        <v>18</v>
      </c>
      <c r="H347" s="34" t="str">
        <f>VLOOKUP(Transactions[[#This Row],[Sub-category]],TblDV45[#All],2)</f>
        <v>Living Expenses</v>
      </c>
      <c r="I347" s="34" t="str">
        <f>VLOOKUP(Transactions[[#This Row],[Sub-category]],TblDV45[#All],3)</f>
        <v>Expense</v>
      </c>
    </row>
    <row r="348" spans="1:9" x14ac:dyDescent="0.3">
      <c r="A348" s="29" t="s">
        <v>59</v>
      </c>
      <c r="B348" s="33">
        <v>45152</v>
      </c>
      <c r="C348" s="29" t="s">
        <v>11</v>
      </c>
      <c r="D348" s="29">
        <v>50</v>
      </c>
      <c r="F348" s="34">
        <f t="shared" si="5"/>
        <v>-50</v>
      </c>
      <c r="G348" s="34" t="s">
        <v>12</v>
      </c>
      <c r="H348" s="34" t="str">
        <f>VLOOKUP(Transactions[[#This Row],[Sub-category]],TblDV45[#All],2)</f>
        <v>Dining Out</v>
      </c>
      <c r="I348" s="34" t="str">
        <f>VLOOKUP(Transactions[[#This Row],[Sub-category]],TblDV45[#All],3)</f>
        <v>Expense</v>
      </c>
    </row>
    <row r="349" spans="1:9" x14ac:dyDescent="0.3">
      <c r="A349" s="29" t="s">
        <v>59</v>
      </c>
      <c r="B349" s="33">
        <v>45153</v>
      </c>
      <c r="C349" s="29" t="s">
        <v>11</v>
      </c>
      <c r="D349" s="29">
        <v>50</v>
      </c>
      <c r="F349" s="34">
        <f t="shared" si="5"/>
        <v>-50</v>
      </c>
      <c r="G349" s="34" t="s">
        <v>12</v>
      </c>
      <c r="H349" s="34" t="str">
        <f>VLOOKUP(Transactions[[#This Row],[Sub-category]],TblDV45[#All],2)</f>
        <v>Dining Out</v>
      </c>
      <c r="I349" s="34" t="str">
        <f>VLOOKUP(Transactions[[#This Row],[Sub-category]],TblDV45[#All],3)</f>
        <v>Expense</v>
      </c>
    </row>
    <row r="350" spans="1:9" x14ac:dyDescent="0.3">
      <c r="A350" s="29" t="s">
        <v>59</v>
      </c>
      <c r="B350" s="33">
        <v>45153</v>
      </c>
      <c r="C350" s="29" t="s">
        <v>23</v>
      </c>
      <c r="D350" s="29">
        <v>140</v>
      </c>
      <c r="F350" s="34">
        <f t="shared" si="5"/>
        <v>-140</v>
      </c>
      <c r="G350" s="34" t="s">
        <v>24</v>
      </c>
      <c r="H350" s="34" t="str">
        <f>VLOOKUP(Transactions[[#This Row],[Sub-category]],TblDV45[#All],2)</f>
        <v>Discretionary</v>
      </c>
      <c r="I350" s="34" t="str">
        <f>VLOOKUP(Transactions[[#This Row],[Sub-category]],TblDV45[#All],3)</f>
        <v>Expense</v>
      </c>
    </row>
    <row r="351" spans="1:9" x14ac:dyDescent="0.3">
      <c r="A351" s="29" t="s">
        <v>59</v>
      </c>
      <c r="B351" s="33">
        <v>45153</v>
      </c>
      <c r="C351" s="29" t="s">
        <v>46</v>
      </c>
      <c r="D351" s="29">
        <v>504.7</v>
      </c>
      <c r="F351" s="34">
        <f t="shared" si="5"/>
        <v>-504.7</v>
      </c>
      <c r="G351" s="34" t="s">
        <v>25</v>
      </c>
      <c r="H351" s="34" t="str">
        <f>VLOOKUP(Transactions[[#This Row],[Sub-category]],TblDV45[#All],2)</f>
        <v>Discretionary</v>
      </c>
      <c r="I351" s="34" t="str">
        <f>VLOOKUP(Transactions[[#This Row],[Sub-category]],TblDV45[#All],3)</f>
        <v>Expense</v>
      </c>
    </row>
    <row r="352" spans="1:9" x14ac:dyDescent="0.3">
      <c r="A352" s="29" t="s">
        <v>59</v>
      </c>
      <c r="B352" s="33">
        <v>45153</v>
      </c>
      <c r="C352" s="29" t="s">
        <v>48</v>
      </c>
      <c r="D352" s="29">
        <v>200</v>
      </c>
      <c r="F352" s="34">
        <f t="shared" si="5"/>
        <v>-200</v>
      </c>
      <c r="G352" s="34" t="s">
        <v>26</v>
      </c>
      <c r="H352" s="34" t="str">
        <f>VLOOKUP(Transactions[[#This Row],[Sub-category]],TblDV45[#All],2)</f>
        <v>Dining Out</v>
      </c>
      <c r="I352" s="34" t="str">
        <f>VLOOKUP(Transactions[[#This Row],[Sub-category]],TblDV45[#All],3)</f>
        <v>Expense</v>
      </c>
    </row>
    <row r="353" spans="1:9" x14ac:dyDescent="0.3">
      <c r="A353" s="29" t="s">
        <v>59</v>
      </c>
      <c r="B353" s="33">
        <v>45154</v>
      </c>
      <c r="C353" s="29" t="s">
        <v>27</v>
      </c>
      <c r="D353" s="29">
        <v>75</v>
      </c>
      <c r="F353" s="34">
        <f t="shared" si="5"/>
        <v>-75</v>
      </c>
      <c r="G353" s="34" t="s">
        <v>28</v>
      </c>
      <c r="H353" s="34" t="str">
        <f>VLOOKUP(Transactions[[#This Row],[Sub-category]],TblDV45[#All],2)</f>
        <v>Transport</v>
      </c>
      <c r="I353" s="34" t="str">
        <f>VLOOKUP(Transactions[[#This Row],[Sub-category]],TblDV45[#All],3)</f>
        <v>Expense</v>
      </c>
    </row>
    <row r="354" spans="1:9" x14ac:dyDescent="0.3">
      <c r="A354" s="29" t="s">
        <v>58</v>
      </c>
      <c r="B354" s="33">
        <v>45155</v>
      </c>
      <c r="C354" s="29" t="s">
        <v>29</v>
      </c>
      <c r="D354" s="29">
        <v>300</v>
      </c>
      <c r="F354" s="34">
        <f t="shared" si="5"/>
        <v>-300</v>
      </c>
      <c r="G354" s="34" t="s">
        <v>30</v>
      </c>
      <c r="H354" s="34" t="str">
        <f>VLOOKUP(Transactions[[#This Row],[Sub-category]],TblDV45[#All],2)</f>
        <v>Discretionary</v>
      </c>
      <c r="I354" s="34" t="str">
        <f>VLOOKUP(Transactions[[#This Row],[Sub-category]],TblDV45[#All],3)</f>
        <v>Expense</v>
      </c>
    </row>
    <row r="355" spans="1:9" x14ac:dyDescent="0.3">
      <c r="A355" s="29" t="s">
        <v>59</v>
      </c>
      <c r="B355" s="33">
        <v>45155</v>
      </c>
      <c r="C355" s="29" t="s">
        <v>11</v>
      </c>
      <c r="D355" s="29">
        <v>50</v>
      </c>
      <c r="F355" s="34">
        <f t="shared" si="5"/>
        <v>-50</v>
      </c>
      <c r="G355" s="34" t="s">
        <v>12</v>
      </c>
      <c r="H355" s="34" t="str">
        <f>VLOOKUP(Transactions[[#This Row],[Sub-category]],TblDV45[#All],2)</f>
        <v>Dining Out</v>
      </c>
      <c r="I355" s="34" t="str">
        <f>VLOOKUP(Transactions[[#This Row],[Sub-category]],TblDV45[#All],3)</f>
        <v>Expense</v>
      </c>
    </row>
    <row r="356" spans="1:9" x14ac:dyDescent="0.3">
      <c r="A356" s="29" t="s">
        <v>59</v>
      </c>
      <c r="B356" s="33">
        <v>45156</v>
      </c>
      <c r="C356" s="29" t="s">
        <v>11</v>
      </c>
      <c r="D356" s="29">
        <v>50</v>
      </c>
      <c r="F356" s="34">
        <f t="shared" si="5"/>
        <v>-50</v>
      </c>
      <c r="G356" s="34" t="s">
        <v>12</v>
      </c>
      <c r="H356" s="34" t="str">
        <f>VLOOKUP(Transactions[[#This Row],[Sub-category]],TblDV45[#All],2)</f>
        <v>Dining Out</v>
      </c>
      <c r="I356" s="34" t="str">
        <f>VLOOKUP(Transactions[[#This Row],[Sub-category]],TblDV45[#All],3)</f>
        <v>Expense</v>
      </c>
    </row>
    <row r="357" spans="1:9" x14ac:dyDescent="0.3">
      <c r="A357" s="29" t="s">
        <v>58</v>
      </c>
      <c r="B357" s="33">
        <v>45156</v>
      </c>
      <c r="C357" s="29" t="s">
        <v>47</v>
      </c>
      <c r="D357" s="29">
        <v>699</v>
      </c>
      <c r="F357" s="34">
        <f t="shared" si="5"/>
        <v>-699</v>
      </c>
      <c r="G357" s="34" t="s">
        <v>33</v>
      </c>
      <c r="H357" s="34" t="str">
        <f>VLOOKUP(Transactions[[#This Row],[Sub-category]],TblDV45[#All],2)</f>
        <v>Living Expenses</v>
      </c>
      <c r="I357" s="34" t="str">
        <f>VLOOKUP(Transactions[[#This Row],[Sub-category]],TblDV45[#All],3)</f>
        <v>Expense</v>
      </c>
    </row>
    <row r="358" spans="1:9" x14ac:dyDescent="0.3">
      <c r="A358" s="29" t="s">
        <v>59</v>
      </c>
      <c r="B358" s="33">
        <v>45157</v>
      </c>
      <c r="C358" s="29" t="s">
        <v>34</v>
      </c>
      <c r="D358" s="29">
        <v>500</v>
      </c>
      <c r="F358" s="34">
        <f t="shared" si="5"/>
        <v>-500</v>
      </c>
      <c r="G358" s="34" t="s">
        <v>34</v>
      </c>
      <c r="H358" s="34" t="str">
        <f>VLOOKUP(Transactions[[#This Row],[Sub-category]],TblDV45[#All],2)</f>
        <v>Discretionary</v>
      </c>
      <c r="I358" s="34" t="str">
        <f>VLOOKUP(Transactions[[#This Row],[Sub-category]],TblDV45[#All],3)</f>
        <v>Expense</v>
      </c>
    </row>
    <row r="359" spans="1:9" x14ac:dyDescent="0.3">
      <c r="A359" s="29" t="s">
        <v>59</v>
      </c>
      <c r="B359" s="33">
        <v>45157</v>
      </c>
      <c r="C359" s="29" t="s">
        <v>35</v>
      </c>
      <c r="D359" s="29">
        <v>500</v>
      </c>
      <c r="F359" s="34">
        <f t="shared" si="5"/>
        <v>-500</v>
      </c>
      <c r="G359" s="34" t="s">
        <v>24</v>
      </c>
      <c r="H359" s="34" t="str">
        <f>VLOOKUP(Transactions[[#This Row],[Sub-category]],TblDV45[#All],2)</f>
        <v>Discretionary</v>
      </c>
      <c r="I359" s="34" t="str">
        <f>VLOOKUP(Transactions[[#This Row],[Sub-category]],TblDV45[#All],3)</f>
        <v>Expense</v>
      </c>
    </row>
    <row r="360" spans="1:9" x14ac:dyDescent="0.3">
      <c r="A360" s="29" t="s">
        <v>59</v>
      </c>
      <c r="B360" s="33">
        <v>45157</v>
      </c>
      <c r="C360" s="29" t="s">
        <v>11</v>
      </c>
      <c r="D360" s="29">
        <v>50</v>
      </c>
      <c r="F360" s="34">
        <f t="shared" si="5"/>
        <v>-50</v>
      </c>
      <c r="G360" s="34" t="s">
        <v>12</v>
      </c>
      <c r="H360" s="34" t="str">
        <f>VLOOKUP(Transactions[[#This Row],[Sub-category]],TblDV45[#All],2)</f>
        <v>Dining Out</v>
      </c>
      <c r="I360" s="34" t="str">
        <f>VLOOKUP(Transactions[[#This Row],[Sub-category]],TblDV45[#All],3)</f>
        <v>Expense</v>
      </c>
    </row>
    <row r="361" spans="1:9" x14ac:dyDescent="0.3">
      <c r="A361" s="29" t="s">
        <v>59</v>
      </c>
      <c r="B361" s="33">
        <v>45158</v>
      </c>
      <c r="C361" s="29" t="s">
        <v>11</v>
      </c>
      <c r="D361" s="29">
        <v>50</v>
      </c>
      <c r="F361" s="34">
        <f t="shared" si="5"/>
        <v>-50</v>
      </c>
      <c r="G361" s="34" t="s">
        <v>12</v>
      </c>
      <c r="H361" s="34" t="str">
        <f>VLOOKUP(Transactions[[#This Row],[Sub-category]],TblDV45[#All],2)</f>
        <v>Dining Out</v>
      </c>
      <c r="I361" s="34" t="str">
        <f>VLOOKUP(Transactions[[#This Row],[Sub-category]],TblDV45[#All],3)</f>
        <v>Expense</v>
      </c>
    </row>
    <row r="362" spans="1:9" x14ac:dyDescent="0.3">
      <c r="A362" s="29" t="s">
        <v>59</v>
      </c>
      <c r="B362" s="33">
        <v>45159</v>
      </c>
      <c r="C362" s="29" t="s">
        <v>11</v>
      </c>
      <c r="D362" s="29">
        <v>50</v>
      </c>
      <c r="F362" s="34">
        <f t="shared" si="5"/>
        <v>-50</v>
      </c>
      <c r="G362" s="34" t="s">
        <v>12</v>
      </c>
      <c r="H362" s="34" t="str">
        <f>VLOOKUP(Transactions[[#This Row],[Sub-category]],TblDV45[#All],2)</f>
        <v>Dining Out</v>
      </c>
      <c r="I362" s="34" t="str">
        <f>VLOOKUP(Transactions[[#This Row],[Sub-category]],TblDV45[#All],3)</f>
        <v>Expense</v>
      </c>
    </row>
    <row r="363" spans="1:9" x14ac:dyDescent="0.3">
      <c r="A363" s="29" t="s">
        <v>59</v>
      </c>
      <c r="B363" s="33">
        <v>45159</v>
      </c>
      <c r="C363" s="29" t="s">
        <v>17</v>
      </c>
      <c r="D363" s="29">
        <v>177</v>
      </c>
      <c r="F363" s="34">
        <f t="shared" si="5"/>
        <v>-177</v>
      </c>
      <c r="G363" s="34" t="s">
        <v>18</v>
      </c>
      <c r="H363" s="34" t="str">
        <f>VLOOKUP(Transactions[[#This Row],[Sub-category]],TblDV45[#All],2)</f>
        <v>Living Expenses</v>
      </c>
      <c r="I363" s="34" t="str">
        <f>VLOOKUP(Transactions[[#This Row],[Sub-category]],TblDV45[#All],3)</f>
        <v>Expense</v>
      </c>
    </row>
    <row r="364" spans="1:9" x14ac:dyDescent="0.3">
      <c r="A364" s="29" t="s">
        <v>59</v>
      </c>
      <c r="B364" s="33">
        <v>45160</v>
      </c>
      <c r="C364" s="29" t="s">
        <v>60</v>
      </c>
      <c r="D364" s="29">
        <v>599</v>
      </c>
      <c r="F364" s="34">
        <f t="shared" si="5"/>
        <v>-599</v>
      </c>
      <c r="G364" s="34" t="s">
        <v>26</v>
      </c>
      <c r="H364" s="34" t="str">
        <f>VLOOKUP(Transactions[[#This Row],[Sub-category]],TblDV45[#All],2)</f>
        <v>Dining Out</v>
      </c>
      <c r="I364" s="34" t="str">
        <f>VLOOKUP(Transactions[[#This Row],[Sub-category]],TblDV45[#All],3)</f>
        <v>Expense</v>
      </c>
    </row>
    <row r="365" spans="1:9" x14ac:dyDescent="0.3">
      <c r="A365" s="29" t="s">
        <v>59</v>
      </c>
      <c r="B365" s="33">
        <v>45161</v>
      </c>
      <c r="C365" s="29" t="s">
        <v>36</v>
      </c>
      <c r="D365" s="29">
        <v>19.2</v>
      </c>
      <c r="F365" s="34">
        <f t="shared" si="5"/>
        <v>-19.2</v>
      </c>
      <c r="G365" s="34" t="s">
        <v>26</v>
      </c>
      <c r="H365" s="34" t="str">
        <f>VLOOKUP(Transactions[[#This Row],[Sub-category]],TblDV45[#All],2)</f>
        <v>Dining Out</v>
      </c>
      <c r="I365" s="34" t="str">
        <f>VLOOKUP(Transactions[[#This Row],[Sub-category]],TblDV45[#All],3)</f>
        <v>Expense</v>
      </c>
    </row>
    <row r="366" spans="1:9" x14ac:dyDescent="0.3">
      <c r="A366" s="29" t="s">
        <v>58</v>
      </c>
      <c r="B366" s="33">
        <v>45162</v>
      </c>
      <c r="C366" s="29" t="s">
        <v>37</v>
      </c>
      <c r="D366" s="29">
        <v>551</v>
      </c>
      <c r="F366" s="34">
        <f t="shared" si="5"/>
        <v>-551</v>
      </c>
      <c r="G366" s="34" t="s">
        <v>38</v>
      </c>
      <c r="H366" s="34" t="str">
        <f>VLOOKUP(Transactions[[#This Row],[Sub-category]],TblDV45[#All],2)</f>
        <v>Charity</v>
      </c>
      <c r="I366" s="34" t="str">
        <f>VLOOKUP(Transactions[[#This Row],[Sub-category]],TblDV45[#All],3)</f>
        <v>Expense</v>
      </c>
    </row>
    <row r="367" spans="1:9" x14ac:dyDescent="0.3">
      <c r="A367" s="29" t="s">
        <v>59</v>
      </c>
      <c r="B367" s="33">
        <v>45162</v>
      </c>
      <c r="C367" s="29" t="s">
        <v>21</v>
      </c>
      <c r="D367" s="29">
        <v>300</v>
      </c>
      <c r="F367" s="34">
        <f t="shared" si="5"/>
        <v>-300</v>
      </c>
      <c r="G367" s="34" t="s">
        <v>22</v>
      </c>
      <c r="H367" s="34" t="str">
        <f>VLOOKUP(Transactions[[#This Row],[Sub-category]],TblDV45[#All],2)</f>
        <v>Transport</v>
      </c>
      <c r="I367" s="34" t="str">
        <f>VLOOKUP(Transactions[[#This Row],[Sub-category]],TblDV45[#All],3)</f>
        <v>Expense</v>
      </c>
    </row>
    <row r="368" spans="1:9" x14ac:dyDescent="0.3">
      <c r="A368" s="29" t="s">
        <v>59</v>
      </c>
      <c r="B368" s="33">
        <v>45162</v>
      </c>
      <c r="C368" s="29" t="s">
        <v>11</v>
      </c>
      <c r="D368" s="29">
        <v>50</v>
      </c>
      <c r="F368" s="34">
        <f t="shared" si="5"/>
        <v>-50</v>
      </c>
      <c r="G368" s="34" t="s">
        <v>12</v>
      </c>
      <c r="H368" s="34" t="str">
        <f>VLOOKUP(Transactions[[#This Row],[Sub-category]],TblDV45[#All],2)</f>
        <v>Dining Out</v>
      </c>
      <c r="I368" s="34" t="str">
        <f>VLOOKUP(Transactions[[#This Row],[Sub-category]],TblDV45[#All],3)</f>
        <v>Expense</v>
      </c>
    </row>
    <row r="369" spans="1:9" x14ac:dyDescent="0.3">
      <c r="A369" s="29" t="s">
        <v>59</v>
      </c>
      <c r="B369" s="33">
        <v>45163</v>
      </c>
      <c r="C369" s="29" t="s">
        <v>11</v>
      </c>
      <c r="D369" s="29">
        <v>50</v>
      </c>
      <c r="F369" s="34">
        <f t="shared" si="5"/>
        <v>-50</v>
      </c>
      <c r="G369" s="34" t="s">
        <v>12</v>
      </c>
      <c r="H369" s="34" t="str">
        <f>VLOOKUP(Transactions[[#This Row],[Sub-category]],TblDV45[#All],2)</f>
        <v>Dining Out</v>
      </c>
      <c r="I369" s="34" t="str">
        <f>VLOOKUP(Transactions[[#This Row],[Sub-category]],TblDV45[#All],3)</f>
        <v>Expense</v>
      </c>
    </row>
    <row r="370" spans="1:9" x14ac:dyDescent="0.3">
      <c r="A370" s="29" t="s">
        <v>59</v>
      </c>
      <c r="B370" s="33">
        <v>45164</v>
      </c>
      <c r="C370" s="29" t="s">
        <v>11</v>
      </c>
      <c r="D370" s="29">
        <v>50</v>
      </c>
      <c r="F370" s="34">
        <f t="shared" si="5"/>
        <v>-50</v>
      </c>
      <c r="G370" s="34" t="s">
        <v>12</v>
      </c>
      <c r="H370" s="34" t="str">
        <f>VLOOKUP(Transactions[[#This Row],[Sub-category]],TblDV45[#All],2)</f>
        <v>Dining Out</v>
      </c>
      <c r="I370" s="34" t="str">
        <f>VLOOKUP(Transactions[[#This Row],[Sub-category]],TblDV45[#All],3)</f>
        <v>Expense</v>
      </c>
    </row>
    <row r="371" spans="1:9" x14ac:dyDescent="0.3">
      <c r="A371" s="29" t="s">
        <v>59</v>
      </c>
      <c r="B371" s="33">
        <v>45165</v>
      </c>
      <c r="C371" s="29" t="s">
        <v>11</v>
      </c>
      <c r="D371" s="29">
        <v>50</v>
      </c>
      <c r="F371" s="34">
        <f t="shared" si="5"/>
        <v>-50</v>
      </c>
      <c r="G371" s="34" t="s">
        <v>12</v>
      </c>
      <c r="H371" s="34" t="str">
        <f>VLOOKUP(Transactions[[#This Row],[Sub-category]],TblDV45[#All],2)</f>
        <v>Dining Out</v>
      </c>
      <c r="I371" s="34" t="str">
        <f>VLOOKUP(Transactions[[#This Row],[Sub-category]],TblDV45[#All],3)</f>
        <v>Expense</v>
      </c>
    </row>
    <row r="372" spans="1:9" x14ac:dyDescent="0.3">
      <c r="A372" s="29" t="s">
        <v>59</v>
      </c>
      <c r="B372" s="33">
        <v>45166</v>
      </c>
      <c r="C372" s="29" t="s">
        <v>11</v>
      </c>
      <c r="D372" s="29">
        <v>50</v>
      </c>
      <c r="F372" s="34">
        <f t="shared" si="5"/>
        <v>-50</v>
      </c>
      <c r="G372" s="34" t="s">
        <v>12</v>
      </c>
      <c r="H372" s="34" t="str">
        <f>VLOOKUP(Transactions[[#This Row],[Sub-category]],TblDV45[#All],2)</f>
        <v>Dining Out</v>
      </c>
      <c r="I372" s="34" t="str">
        <f>VLOOKUP(Transactions[[#This Row],[Sub-category]],TblDV45[#All],3)</f>
        <v>Expense</v>
      </c>
    </row>
    <row r="373" spans="1:9" x14ac:dyDescent="0.3">
      <c r="A373" s="29" t="s">
        <v>59</v>
      </c>
      <c r="B373" s="33">
        <v>45166</v>
      </c>
      <c r="C373" s="29" t="s">
        <v>17</v>
      </c>
      <c r="D373" s="29">
        <v>117</v>
      </c>
      <c r="F373" s="34">
        <f t="shared" si="5"/>
        <v>-117</v>
      </c>
      <c r="G373" s="34" t="s">
        <v>18</v>
      </c>
      <c r="H373" s="34" t="str">
        <f>VLOOKUP(Transactions[[#This Row],[Sub-category]],TblDV45[#All],2)</f>
        <v>Living Expenses</v>
      </c>
      <c r="I373" s="34" t="str">
        <f>VLOOKUP(Transactions[[#This Row],[Sub-category]],TblDV45[#All],3)</f>
        <v>Expense</v>
      </c>
    </row>
    <row r="374" spans="1:9" x14ac:dyDescent="0.3">
      <c r="A374" s="29" t="s">
        <v>59</v>
      </c>
      <c r="B374" s="33">
        <v>45167</v>
      </c>
      <c r="C374" s="29" t="s">
        <v>39</v>
      </c>
      <c r="D374" s="29">
        <v>1821.4</v>
      </c>
      <c r="F374" s="34">
        <f t="shared" si="5"/>
        <v>-1821.4</v>
      </c>
      <c r="G374" s="34" t="s">
        <v>24</v>
      </c>
      <c r="H374" s="34" t="str">
        <f>VLOOKUP(Transactions[[#This Row],[Sub-category]],TblDV45[#All],2)</f>
        <v>Discretionary</v>
      </c>
      <c r="I374" s="34" t="str">
        <f>VLOOKUP(Transactions[[#This Row],[Sub-category]],TblDV45[#All],3)</f>
        <v>Expense</v>
      </c>
    </row>
    <row r="375" spans="1:9" x14ac:dyDescent="0.3">
      <c r="A375" s="29" t="s">
        <v>59</v>
      </c>
      <c r="B375" s="33">
        <v>45168</v>
      </c>
      <c r="C375" s="29" t="s">
        <v>46</v>
      </c>
      <c r="D375" s="29">
        <v>952.3</v>
      </c>
      <c r="F375" s="34">
        <f t="shared" ref="F375:F437" si="6">E375-D375</f>
        <v>-952.3</v>
      </c>
      <c r="G375" s="34" t="s">
        <v>25</v>
      </c>
      <c r="H375" s="34" t="str">
        <f>VLOOKUP(Transactions[[#This Row],[Sub-category]],TblDV45[#All],2)</f>
        <v>Discretionary</v>
      </c>
      <c r="I375" s="34" t="str">
        <f>VLOOKUP(Transactions[[#This Row],[Sub-category]],TblDV45[#All],3)</f>
        <v>Expense</v>
      </c>
    </row>
    <row r="376" spans="1:9" x14ac:dyDescent="0.3">
      <c r="A376" s="29" t="s">
        <v>59</v>
      </c>
      <c r="B376" s="33">
        <v>45168</v>
      </c>
      <c r="C376" s="29" t="s">
        <v>27</v>
      </c>
      <c r="D376" s="29">
        <v>120</v>
      </c>
      <c r="F376" s="34">
        <f t="shared" si="6"/>
        <v>-120</v>
      </c>
      <c r="G376" s="34" t="s">
        <v>28</v>
      </c>
      <c r="H376" s="34" t="str">
        <f>VLOOKUP(Transactions[[#This Row],[Sub-category]],TblDV45[#All],2)</f>
        <v>Transport</v>
      </c>
      <c r="I376" s="34" t="str">
        <f>VLOOKUP(Transactions[[#This Row],[Sub-category]],TblDV45[#All],3)</f>
        <v>Expense</v>
      </c>
    </row>
    <row r="377" spans="1:9" x14ac:dyDescent="0.3">
      <c r="A377" s="29" t="s">
        <v>59</v>
      </c>
      <c r="B377" s="33">
        <v>45168</v>
      </c>
      <c r="C377" s="29" t="s">
        <v>43</v>
      </c>
      <c r="D377" s="29">
        <v>250</v>
      </c>
      <c r="F377" s="34">
        <f t="shared" si="6"/>
        <v>-250</v>
      </c>
      <c r="G377" s="34" t="s">
        <v>26</v>
      </c>
      <c r="H377" s="34" t="str">
        <f>VLOOKUP(Transactions[[#This Row],[Sub-category]],TblDV45[#All],2)</f>
        <v>Dining Out</v>
      </c>
      <c r="I377" s="34" t="str">
        <f>VLOOKUP(Transactions[[#This Row],[Sub-category]],TblDV45[#All],3)</f>
        <v>Expense</v>
      </c>
    </row>
    <row r="378" spans="1:9" x14ac:dyDescent="0.3">
      <c r="A378" s="29" t="s">
        <v>59</v>
      </c>
      <c r="B378" s="33">
        <v>45169</v>
      </c>
      <c r="C378" s="29" t="s">
        <v>11</v>
      </c>
      <c r="D378" s="29">
        <v>50</v>
      </c>
      <c r="F378" s="34">
        <f t="shared" si="6"/>
        <v>-50</v>
      </c>
      <c r="G378" s="34" t="s">
        <v>12</v>
      </c>
      <c r="H378" s="34" t="str">
        <f>VLOOKUP(Transactions[[#This Row],[Sub-category]],TblDV45[#All],2)</f>
        <v>Dining Out</v>
      </c>
      <c r="I378" s="34" t="str">
        <f>VLOOKUP(Transactions[[#This Row],[Sub-category]],TblDV45[#All],3)</f>
        <v>Expense</v>
      </c>
    </row>
    <row r="379" spans="1:9" x14ac:dyDescent="0.3">
      <c r="A379" s="29" t="s">
        <v>59</v>
      </c>
      <c r="B379" s="33">
        <v>45171</v>
      </c>
      <c r="C379" s="29" t="s">
        <v>11</v>
      </c>
      <c r="D379" s="29">
        <v>50</v>
      </c>
      <c r="F379" s="34">
        <f t="shared" si="6"/>
        <v>-50</v>
      </c>
      <c r="G379" s="34" t="s">
        <v>12</v>
      </c>
      <c r="H379" s="34" t="str">
        <f>VLOOKUP(Transactions[[#This Row],[Sub-category]],TblDV45[#All],2)</f>
        <v>Dining Out</v>
      </c>
      <c r="I379" s="34" t="str">
        <f>VLOOKUP(Transactions[[#This Row],[Sub-category]],TblDV45[#All],3)</f>
        <v>Expense</v>
      </c>
    </row>
    <row r="380" spans="1:9" x14ac:dyDescent="0.3">
      <c r="A380" s="29" t="s">
        <v>58</v>
      </c>
      <c r="B380" s="33">
        <v>45171</v>
      </c>
      <c r="C380" s="29" t="s">
        <v>9</v>
      </c>
      <c r="E380" s="29">
        <v>30000</v>
      </c>
      <c r="F380" s="34">
        <f t="shared" si="6"/>
        <v>30000</v>
      </c>
      <c r="G380" s="34" t="s">
        <v>10</v>
      </c>
      <c r="H380" s="34" t="str">
        <f>VLOOKUP(Transactions[[#This Row],[Sub-category]],TblDV45[#All],2)</f>
        <v>Salary</v>
      </c>
      <c r="I380" s="34" t="str">
        <f>VLOOKUP(Transactions[[#This Row],[Sub-category]],TblDV45[#All],3)</f>
        <v>Income</v>
      </c>
    </row>
    <row r="381" spans="1:9" x14ac:dyDescent="0.3">
      <c r="A381" s="29" t="s">
        <v>59</v>
      </c>
      <c r="B381" s="33">
        <v>45172</v>
      </c>
      <c r="C381" s="29" t="s">
        <v>11</v>
      </c>
      <c r="D381" s="29">
        <v>50</v>
      </c>
      <c r="F381" s="34">
        <f t="shared" si="6"/>
        <v>-50</v>
      </c>
      <c r="G381" s="34" t="s">
        <v>12</v>
      </c>
      <c r="H381" s="34" t="str">
        <f>VLOOKUP(Transactions[[#This Row],[Sub-category]],TblDV45[#All],2)</f>
        <v>Dining Out</v>
      </c>
      <c r="I381" s="34" t="str">
        <f>VLOOKUP(Transactions[[#This Row],[Sub-category]],TblDV45[#All],3)</f>
        <v>Expense</v>
      </c>
    </row>
    <row r="382" spans="1:9" x14ac:dyDescent="0.3">
      <c r="A382" s="29" t="s">
        <v>58</v>
      </c>
      <c r="B382" s="33">
        <v>45174</v>
      </c>
      <c r="C382" s="29" t="s">
        <v>13</v>
      </c>
      <c r="D382" s="29">
        <v>6000</v>
      </c>
      <c r="F382" s="34">
        <f t="shared" si="6"/>
        <v>-6000</v>
      </c>
      <c r="G382" s="34" t="s">
        <v>14</v>
      </c>
      <c r="H382" s="34" t="str">
        <f>VLOOKUP(Transactions[[#This Row],[Sub-category]],TblDV45[#All],2)</f>
        <v>Living Expenses</v>
      </c>
      <c r="I382" s="34" t="str">
        <f>VLOOKUP(Transactions[[#This Row],[Sub-category]],TblDV45[#All],3)</f>
        <v>Expense</v>
      </c>
    </row>
    <row r="383" spans="1:9" x14ac:dyDescent="0.3">
      <c r="A383" s="29" t="s">
        <v>58</v>
      </c>
      <c r="B383" s="33">
        <v>45174</v>
      </c>
      <c r="C383" s="29" t="s">
        <v>15</v>
      </c>
      <c r="D383" s="29">
        <v>2500</v>
      </c>
      <c r="F383" s="34">
        <f t="shared" si="6"/>
        <v>-2500</v>
      </c>
      <c r="G383" s="34" t="s">
        <v>16</v>
      </c>
      <c r="H383" s="34" t="str">
        <f>VLOOKUP(Transactions[[#This Row],[Sub-category]],TblDV45[#All],2)</f>
        <v>Transport</v>
      </c>
      <c r="I383" s="34" t="str">
        <f>VLOOKUP(Transactions[[#This Row],[Sub-category]],TblDV45[#All],3)</f>
        <v>Expense</v>
      </c>
    </row>
    <row r="384" spans="1:9" x14ac:dyDescent="0.3">
      <c r="A384" s="29" t="s">
        <v>59</v>
      </c>
      <c r="B384" s="33">
        <v>45174</v>
      </c>
      <c r="C384" s="29" t="s">
        <v>11</v>
      </c>
      <c r="D384" s="29">
        <v>50</v>
      </c>
      <c r="F384" s="34">
        <f t="shared" si="6"/>
        <v>-50</v>
      </c>
      <c r="G384" s="34" t="s">
        <v>12</v>
      </c>
      <c r="H384" s="34" t="str">
        <f>VLOOKUP(Transactions[[#This Row],[Sub-category]],TblDV45[#All],2)</f>
        <v>Dining Out</v>
      </c>
      <c r="I384" s="34" t="str">
        <f>VLOOKUP(Transactions[[#This Row],[Sub-category]],TblDV45[#All],3)</f>
        <v>Expense</v>
      </c>
    </row>
    <row r="385" spans="1:9" x14ac:dyDescent="0.3">
      <c r="A385" s="29" t="s">
        <v>59</v>
      </c>
      <c r="B385" s="33">
        <v>45174</v>
      </c>
      <c r="C385" s="29" t="s">
        <v>11</v>
      </c>
      <c r="D385" s="29">
        <v>50</v>
      </c>
      <c r="F385" s="34">
        <f t="shared" si="6"/>
        <v>-50</v>
      </c>
      <c r="G385" s="34" t="s">
        <v>12</v>
      </c>
      <c r="H385" s="34" t="str">
        <f>VLOOKUP(Transactions[[#This Row],[Sub-category]],TblDV45[#All],2)</f>
        <v>Dining Out</v>
      </c>
      <c r="I385" s="34" t="str">
        <f>VLOOKUP(Transactions[[#This Row],[Sub-category]],TblDV45[#All],3)</f>
        <v>Expense</v>
      </c>
    </row>
    <row r="386" spans="1:9" x14ac:dyDescent="0.3">
      <c r="A386" s="29" t="s">
        <v>59</v>
      </c>
      <c r="B386" s="33">
        <v>45175</v>
      </c>
      <c r="C386" s="29" t="s">
        <v>11</v>
      </c>
      <c r="D386" s="29">
        <v>50</v>
      </c>
      <c r="F386" s="34">
        <f t="shared" si="6"/>
        <v>-50</v>
      </c>
      <c r="G386" s="34" t="s">
        <v>12</v>
      </c>
      <c r="H386" s="34" t="str">
        <f>VLOOKUP(Transactions[[#This Row],[Sub-category]],TblDV45[#All],2)</f>
        <v>Dining Out</v>
      </c>
      <c r="I386" s="34" t="str">
        <f>VLOOKUP(Transactions[[#This Row],[Sub-category]],TblDV45[#All],3)</f>
        <v>Expense</v>
      </c>
    </row>
    <row r="387" spans="1:9" x14ac:dyDescent="0.3">
      <c r="A387" s="29" t="s">
        <v>59</v>
      </c>
      <c r="B387" s="33">
        <v>45176</v>
      </c>
      <c r="C387" s="29" t="s">
        <v>11</v>
      </c>
      <c r="D387" s="29">
        <v>50</v>
      </c>
      <c r="F387" s="34">
        <f t="shared" si="6"/>
        <v>-50</v>
      </c>
      <c r="G387" s="34" t="s">
        <v>12</v>
      </c>
      <c r="H387" s="34" t="str">
        <f>VLOOKUP(Transactions[[#This Row],[Sub-category]],TblDV45[#All],2)</f>
        <v>Dining Out</v>
      </c>
      <c r="I387" s="34" t="str">
        <f>VLOOKUP(Transactions[[#This Row],[Sub-category]],TblDV45[#All],3)</f>
        <v>Expense</v>
      </c>
    </row>
    <row r="388" spans="1:9" x14ac:dyDescent="0.3">
      <c r="A388" s="29" t="s">
        <v>59</v>
      </c>
      <c r="B388" s="33">
        <v>45176</v>
      </c>
      <c r="C388" s="29" t="s">
        <v>17</v>
      </c>
      <c r="D388" s="29">
        <v>163.39999999999998</v>
      </c>
      <c r="F388" s="34">
        <f t="shared" si="6"/>
        <v>-163.39999999999998</v>
      </c>
      <c r="G388" s="34" t="s">
        <v>18</v>
      </c>
      <c r="H388" s="34" t="str">
        <f>VLOOKUP(Transactions[[#This Row],[Sub-category]],TblDV45[#All],2)</f>
        <v>Living Expenses</v>
      </c>
      <c r="I388" s="34" t="str">
        <f>VLOOKUP(Transactions[[#This Row],[Sub-category]],TblDV45[#All],3)</f>
        <v>Expense</v>
      </c>
    </row>
    <row r="389" spans="1:9" x14ac:dyDescent="0.3">
      <c r="A389" s="29" t="s">
        <v>58</v>
      </c>
      <c r="B389" s="33">
        <v>45179</v>
      </c>
      <c r="C389" s="29" t="s">
        <v>19</v>
      </c>
      <c r="D389" s="29">
        <v>890</v>
      </c>
      <c r="F389" s="34">
        <f t="shared" si="6"/>
        <v>-890</v>
      </c>
      <c r="G389" s="34" t="s">
        <v>20</v>
      </c>
      <c r="H389" s="34" t="str">
        <f>VLOOKUP(Transactions[[#This Row],[Sub-category]],TblDV45[#All],2)</f>
        <v>Living Expenses</v>
      </c>
      <c r="I389" s="34" t="str">
        <f>VLOOKUP(Transactions[[#This Row],[Sub-category]],TblDV45[#All],3)</f>
        <v>Expense</v>
      </c>
    </row>
    <row r="390" spans="1:9" x14ac:dyDescent="0.3">
      <c r="A390" s="29" t="s">
        <v>59</v>
      </c>
      <c r="B390" s="33">
        <v>45179</v>
      </c>
      <c r="C390" s="29" t="s">
        <v>11</v>
      </c>
      <c r="D390" s="29">
        <v>50</v>
      </c>
      <c r="F390" s="34">
        <f t="shared" si="6"/>
        <v>-50</v>
      </c>
      <c r="G390" s="34" t="s">
        <v>12</v>
      </c>
      <c r="H390" s="34" t="str">
        <f>VLOOKUP(Transactions[[#This Row],[Sub-category]],TblDV45[#All],2)</f>
        <v>Dining Out</v>
      </c>
      <c r="I390" s="34" t="str">
        <f>VLOOKUP(Transactions[[#This Row],[Sub-category]],TblDV45[#All],3)</f>
        <v>Expense</v>
      </c>
    </row>
    <row r="391" spans="1:9" x14ac:dyDescent="0.3">
      <c r="A391" s="29" t="s">
        <v>59</v>
      </c>
      <c r="B391" s="33">
        <v>45180</v>
      </c>
      <c r="C391" s="29" t="s">
        <v>11</v>
      </c>
      <c r="D391" s="29">
        <v>50</v>
      </c>
      <c r="F391" s="34">
        <f t="shared" si="6"/>
        <v>-50</v>
      </c>
      <c r="G391" s="34" t="s">
        <v>12</v>
      </c>
      <c r="H391" s="34" t="str">
        <f>VLOOKUP(Transactions[[#This Row],[Sub-category]],TblDV45[#All],2)</f>
        <v>Dining Out</v>
      </c>
      <c r="I391" s="34" t="str">
        <f>VLOOKUP(Transactions[[#This Row],[Sub-category]],TblDV45[#All],3)</f>
        <v>Expense</v>
      </c>
    </row>
    <row r="392" spans="1:9" x14ac:dyDescent="0.3">
      <c r="A392" s="29" t="s">
        <v>59</v>
      </c>
      <c r="B392" s="33">
        <v>45181</v>
      </c>
      <c r="C392" s="29" t="s">
        <v>21</v>
      </c>
      <c r="D392" s="29">
        <v>300</v>
      </c>
      <c r="F392" s="34">
        <f t="shared" si="6"/>
        <v>-300</v>
      </c>
      <c r="G392" s="34" t="s">
        <v>22</v>
      </c>
      <c r="H392" s="34" t="str">
        <f>VLOOKUP(Transactions[[#This Row],[Sub-category]],TblDV45[#All],2)</f>
        <v>Transport</v>
      </c>
      <c r="I392" s="34" t="str">
        <f>VLOOKUP(Transactions[[#This Row],[Sub-category]],TblDV45[#All],3)</f>
        <v>Expense</v>
      </c>
    </row>
    <row r="393" spans="1:9" x14ac:dyDescent="0.3">
      <c r="A393" s="29" t="s">
        <v>59</v>
      </c>
      <c r="B393" s="33">
        <v>45181</v>
      </c>
      <c r="C393" s="29" t="s">
        <v>11</v>
      </c>
      <c r="D393" s="29">
        <v>50</v>
      </c>
      <c r="F393" s="34">
        <f t="shared" si="6"/>
        <v>-50</v>
      </c>
      <c r="G393" s="34" t="s">
        <v>12</v>
      </c>
      <c r="H393" s="34" t="str">
        <f>VLOOKUP(Transactions[[#This Row],[Sub-category]],TblDV45[#All],2)</f>
        <v>Dining Out</v>
      </c>
      <c r="I393" s="34" t="str">
        <f>VLOOKUP(Transactions[[#This Row],[Sub-category]],TblDV45[#All],3)</f>
        <v>Expense</v>
      </c>
    </row>
    <row r="394" spans="1:9" x14ac:dyDescent="0.3">
      <c r="A394" s="29" t="s">
        <v>59</v>
      </c>
      <c r="B394" s="33">
        <v>45182</v>
      </c>
      <c r="C394" s="29" t="s">
        <v>11</v>
      </c>
      <c r="D394" s="29">
        <v>50</v>
      </c>
      <c r="F394" s="34">
        <f t="shared" si="6"/>
        <v>-50</v>
      </c>
      <c r="G394" s="34" t="s">
        <v>12</v>
      </c>
      <c r="H394" s="34" t="str">
        <f>VLOOKUP(Transactions[[#This Row],[Sub-category]],TblDV45[#All],2)</f>
        <v>Dining Out</v>
      </c>
      <c r="I394" s="34" t="str">
        <f>VLOOKUP(Transactions[[#This Row],[Sub-category]],TblDV45[#All],3)</f>
        <v>Expense</v>
      </c>
    </row>
    <row r="395" spans="1:9" x14ac:dyDescent="0.3">
      <c r="A395" s="29" t="s">
        <v>59</v>
      </c>
      <c r="B395" s="33">
        <v>45183</v>
      </c>
      <c r="C395" s="29" t="s">
        <v>17</v>
      </c>
      <c r="D395" s="29">
        <v>143</v>
      </c>
      <c r="F395" s="34">
        <f t="shared" si="6"/>
        <v>-143</v>
      </c>
      <c r="G395" s="34" t="s">
        <v>18</v>
      </c>
      <c r="H395" s="34" t="str">
        <f>VLOOKUP(Transactions[[#This Row],[Sub-category]],TblDV45[#All],2)</f>
        <v>Living Expenses</v>
      </c>
      <c r="I395" s="34" t="str">
        <f>VLOOKUP(Transactions[[#This Row],[Sub-category]],TblDV45[#All],3)</f>
        <v>Expense</v>
      </c>
    </row>
    <row r="396" spans="1:9" x14ac:dyDescent="0.3">
      <c r="A396" s="29" t="s">
        <v>59</v>
      </c>
      <c r="B396" s="33">
        <v>45183</v>
      </c>
      <c r="C396" s="29" t="s">
        <v>11</v>
      </c>
      <c r="D396" s="29">
        <v>50</v>
      </c>
      <c r="F396" s="34">
        <f t="shared" si="6"/>
        <v>-50</v>
      </c>
      <c r="G396" s="34" t="s">
        <v>12</v>
      </c>
      <c r="H396" s="34" t="str">
        <f>VLOOKUP(Transactions[[#This Row],[Sub-category]],TblDV45[#All],2)</f>
        <v>Dining Out</v>
      </c>
      <c r="I396" s="34" t="str">
        <f>VLOOKUP(Transactions[[#This Row],[Sub-category]],TblDV45[#All],3)</f>
        <v>Expense</v>
      </c>
    </row>
    <row r="397" spans="1:9" x14ac:dyDescent="0.3">
      <c r="A397" s="29" t="s">
        <v>59</v>
      </c>
      <c r="B397" s="33">
        <v>45184</v>
      </c>
      <c r="C397" s="29" t="s">
        <v>11</v>
      </c>
      <c r="D397" s="29">
        <v>50</v>
      </c>
      <c r="F397" s="34">
        <f t="shared" si="6"/>
        <v>-50</v>
      </c>
      <c r="G397" s="34" t="s">
        <v>12</v>
      </c>
      <c r="H397" s="34" t="str">
        <f>VLOOKUP(Transactions[[#This Row],[Sub-category]],TblDV45[#All],2)</f>
        <v>Dining Out</v>
      </c>
      <c r="I397" s="34" t="str">
        <f>VLOOKUP(Transactions[[#This Row],[Sub-category]],TblDV45[#All],3)</f>
        <v>Expense</v>
      </c>
    </row>
    <row r="398" spans="1:9" x14ac:dyDescent="0.3">
      <c r="A398" s="29" t="s">
        <v>59</v>
      </c>
      <c r="B398" s="33">
        <v>45184</v>
      </c>
      <c r="C398" s="29" t="s">
        <v>23</v>
      </c>
      <c r="D398" s="29">
        <v>140</v>
      </c>
      <c r="F398" s="34">
        <f t="shared" si="6"/>
        <v>-140</v>
      </c>
      <c r="G398" s="34" t="s">
        <v>24</v>
      </c>
      <c r="H398" s="34" t="str">
        <f>VLOOKUP(Transactions[[#This Row],[Sub-category]],TblDV45[#All],2)</f>
        <v>Discretionary</v>
      </c>
      <c r="I398" s="34" t="str">
        <f>VLOOKUP(Transactions[[#This Row],[Sub-category]],TblDV45[#All],3)</f>
        <v>Expense</v>
      </c>
    </row>
    <row r="399" spans="1:9" x14ac:dyDescent="0.3">
      <c r="A399" s="29" t="s">
        <v>59</v>
      </c>
      <c r="B399" s="33">
        <v>45184</v>
      </c>
      <c r="C399" s="29" t="s">
        <v>46</v>
      </c>
      <c r="D399" s="29">
        <v>505.8</v>
      </c>
      <c r="F399" s="34">
        <f t="shared" si="6"/>
        <v>-505.8</v>
      </c>
      <c r="G399" s="34" t="s">
        <v>25</v>
      </c>
      <c r="H399" s="34" t="str">
        <f>VLOOKUP(Transactions[[#This Row],[Sub-category]],TblDV45[#All],2)</f>
        <v>Discretionary</v>
      </c>
      <c r="I399" s="34" t="str">
        <f>VLOOKUP(Transactions[[#This Row],[Sub-category]],TblDV45[#All],3)</f>
        <v>Expense</v>
      </c>
    </row>
    <row r="400" spans="1:9" x14ac:dyDescent="0.3">
      <c r="A400" s="29" t="s">
        <v>59</v>
      </c>
      <c r="B400" s="33">
        <v>45184</v>
      </c>
      <c r="C400" s="29" t="s">
        <v>48</v>
      </c>
      <c r="D400" s="29">
        <v>200</v>
      </c>
      <c r="F400" s="34">
        <f t="shared" si="6"/>
        <v>-200</v>
      </c>
      <c r="G400" s="34" t="s">
        <v>26</v>
      </c>
      <c r="H400" s="34" t="str">
        <f>VLOOKUP(Transactions[[#This Row],[Sub-category]],TblDV45[#All],2)</f>
        <v>Dining Out</v>
      </c>
      <c r="I400" s="34" t="str">
        <f>VLOOKUP(Transactions[[#This Row],[Sub-category]],TblDV45[#All],3)</f>
        <v>Expense</v>
      </c>
    </row>
    <row r="401" spans="1:9" x14ac:dyDescent="0.3">
      <c r="A401" s="29" t="s">
        <v>59</v>
      </c>
      <c r="B401" s="33">
        <v>45185</v>
      </c>
      <c r="C401" s="29" t="s">
        <v>27</v>
      </c>
      <c r="D401" s="29">
        <v>85</v>
      </c>
      <c r="F401" s="34">
        <f t="shared" si="6"/>
        <v>-85</v>
      </c>
      <c r="G401" s="34" t="s">
        <v>28</v>
      </c>
      <c r="H401" s="34" t="str">
        <f>VLOOKUP(Transactions[[#This Row],[Sub-category]],TblDV45[#All],2)</f>
        <v>Transport</v>
      </c>
      <c r="I401" s="34" t="str">
        <f>VLOOKUP(Transactions[[#This Row],[Sub-category]],TblDV45[#All],3)</f>
        <v>Expense</v>
      </c>
    </row>
    <row r="402" spans="1:9" x14ac:dyDescent="0.3">
      <c r="A402" s="29" t="s">
        <v>58</v>
      </c>
      <c r="B402" s="33">
        <v>45186</v>
      </c>
      <c r="C402" s="29" t="s">
        <v>29</v>
      </c>
      <c r="D402" s="29">
        <v>300</v>
      </c>
      <c r="F402" s="34">
        <f t="shared" si="6"/>
        <v>-300</v>
      </c>
      <c r="G402" s="34" t="s">
        <v>30</v>
      </c>
      <c r="H402" s="34" t="str">
        <f>VLOOKUP(Transactions[[#This Row],[Sub-category]],TblDV45[#All],2)</f>
        <v>Discretionary</v>
      </c>
      <c r="I402" s="34" t="str">
        <f>VLOOKUP(Transactions[[#This Row],[Sub-category]],TblDV45[#All],3)</f>
        <v>Expense</v>
      </c>
    </row>
    <row r="403" spans="1:9" x14ac:dyDescent="0.3">
      <c r="A403" s="29" t="s">
        <v>59</v>
      </c>
      <c r="B403" s="33">
        <v>45186</v>
      </c>
      <c r="C403" s="29" t="s">
        <v>11</v>
      </c>
      <c r="D403" s="29">
        <v>50</v>
      </c>
      <c r="F403" s="34">
        <f t="shared" si="6"/>
        <v>-50</v>
      </c>
      <c r="G403" s="34" t="s">
        <v>12</v>
      </c>
      <c r="H403" s="34" t="str">
        <f>VLOOKUP(Transactions[[#This Row],[Sub-category]],TblDV45[#All],2)</f>
        <v>Dining Out</v>
      </c>
      <c r="I403" s="34" t="str">
        <f>VLOOKUP(Transactions[[#This Row],[Sub-category]],TblDV45[#All],3)</f>
        <v>Expense</v>
      </c>
    </row>
    <row r="404" spans="1:9" x14ac:dyDescent="0.3">
      <c r="A404" s="29" t="s">
        <v>59</v>
      </c>
      <c r="B404" s="33">
        <v>45187</v>
      </c>
      <c r="C404" s="29" t="s">
        <v>11</v>
      </c>
      <c r="D404" s="29">
        <v>50</v>
      </c>
      <c r="F404" s="34">
        <f t="shared" si="6"/>
        <v>-50</v>
      </c>
      <c r="G404" s="34" t="s">
        <v>12</v>
      </c>
      <c r="H404" s="34" t="str">
        <f>VLOOKUP(Transactions[[#This Row],[Sub-category]],TblDV45[#All],2)</f>
        <v>Dining Out</v>
      </c>
      <c r="I404" s="34" t="str">
        <f>VLOOKUP(Transactions[[#This Row],[Sub-category]],TblDV45[#All],3)</f>
        <v>Expense</v>
      </c>
    </row>
    <row r="405" spans="1:9" x14ac:dyDescent="0.3">
      <c r="A405" s="29" t="s">
        <v>58</v>
      </c>
      <c r="B405" s="33">
        <v>45187</v>
      </c>
      <c r="C405" s="29" t="s">
        <v>47</v>
      </c>
      <c r="D405" s="29">
        <v>699</v>
      </c>
      <c r="F405" s="34">
        <f t="shared" si="6"/>
        <v>-699</v>
      </c>
      <c r="G405" s="34" t="s">
        <v>33</v>
      </c>
      <c r="H405" s="34" t="str">
        <f>VLOOKUP(Transactions[[#This Row],[Sub-category]],TblDV45[#All],2)</f>
        <v>Living Expenses</v>
      </c>
      <c r="I405" s="34" t="str">
        <f>VLOOKUP(Transactions[[#This Row],[Sub-category]],TblDV45[#All],3)</f>
        <v>Expense</v>
      </c>
    </row>
    <row r="406" spans="1:9" x14ac:dyDescent="0.3">
      <c r="A406" s="29" t="s">
        <v>59</v>
      </c>
      <c r="B406" s="33">
        <v>45188</v>
      </c>
      <c r="C406" s="29" t="s">
        <v>34</v>
      </c>
      <c r="D406" s="29">
        <v>500</v>
      </c>
      <c r="F406" s="34">
        <f t="shared" si="6"/>
        <v>-500</v>
      </c>
      <c r="G406" s="34" t="s">
        <v>34</v>
      </c>
      <c r="H406" s="34" t="str">
        <f>VLOOKUP(Transactions[[#This Row],[Sub-category]],TblDV45[#All],2)</f>
        <v>Discretionary</v>
      </c>
      <c r="I406" s="34" t="str">
        <f>VLOOKUP(Transactions[[#This Row],[Sub-category]],TblDV45[#All],3)</f>
        <v>Expense</v>
      </c>
    </row>
    <row r="407" spans="1:9" x14ac:dyDescent="0.3">
      <c r="A407" s="29" t="s">
        <v>59</v>
      </c>
      <c r="B407" s="33">
        <v>45188</v>
      </c>
      <c r="C407" s="29" t="s">
        <v>35</v>
      </c>
      <c r="D407" s="29">
        <v>500</v>
      </c>
      <c r="F407" s="34">
        <f t="shared" si="6"/>
        <v>-500</v>
      </c>
      <c r="G407" s="34" t="s">
        <v>24</v>
      </c>
      <c r="H407" s="34" t="str">
        <f>VLOOKUP(Transactions[[#This Row],[Sub-category]],TblDV45[#All],2)</f>
        <v>Discretionary</v>
      </c>
      <c r="I407" s="34" t="str">
        <f>VLOOKUP(Transactions[[#This Row],[Sub-category]],TblDV45[#All],3)</f>
        <v>Expense</v>
      </c>
    </row>
    <row r="408" spans="1:9" x14ac:dyDescent="0.3">
      <c r="A408" s="29" t="s">
        <v>59</v>
      </c>
      <c r="B408" s="33">
        <v>45188</v>
      </c>
      <c r="C408" s="29" t="s">
        <v>11</v>
      </c>
      <c r="D408" s="29">
        <v>50</v>
      </c>
      <c r="F408" s="34">
        <f t="shared" si="6"/>
        <v>-50</v>
      </c>
      <c r="G408" s="34" t="s">
        <v>12</v>
      </c>
      <c r="H408" s="34" t="str">
        <f>VLOOKUP(Transactions[[#This Row],[Sub-category]],TblDV45[#All],2)</f>
        <v>Dining Out</v>
      </c>
      <c r="I408" s="34" t="str">
        <f>VLOOKUP(Transactions[[#This Row],[Sub-category]],TblDV45[#All],3)</f>
        <v>Expense</v>
      </c>
    </row>
    <row r="409" spans="1:9" x14ac:dyDescent="0.3">
      <c r="A409" s="29" t="s">
        <v>59</v>
      </c>
      <c r="B409" s="33">
        <v>45189</v>
      </c>
      <c r="C409" s="29" t="s">
        <v>11</v>
      </c>
      <c r="D409" s="29">
        <v>50</v>
      </c>
      <c r="F409" s="34">
        <f t="shared" si="6"/>
        <v>-50</v>
      </c>
      <c r="G409" s="34" t="s">
        <v>12</v>
      </c>
      <c r="H409" s="34" t="str">
        <f>VLOOKUP(Transactions[[#This Row],[Sub-category]],TblDV45[#All],2)</f>
        <v>Dining Out</v>
      </c>
      <c r="I409" s="34" t="str">
        <f>VLOOKUP(Transactions[[#This Row],[Sub-category]],TblDV45[#All],3)</f>
        <v>Expense</v>
      </c>
    </row>
    <row r="410" spans="1:9" x14ac:dyDescent="0.3">
      <c r="A410" s="29" t="s">
        <v>59</v>
      </c>
      <c r="B410" s="33">
        <v>45190</v>
      </c>
      <c r="C410" s="29" t="s">
        <v>11</v>
      </c>
      <c r="D410" s="29">
        <v>50</v>
      </c>
      <c r="F410" s="34">
        <f t="shared" si="6"/>
        <v>-50</v>
      </c>
      <c r="G410" s="34" t="s">
        <v>12</v>
      </c>
      <c r="H410" s="34" t="str">
        <f>VLOOKUP(Transactions[[#This Row],[Sub-category]],TblDV45[#All],2)</f>
        <v>Dining Out</v>
      </c>
      <c r="I410" s="34" t="str">
        <f>VLOOKUP(Transactions[[#This Row],[Sub-category]],TblDV45[#All],3)</f>
        <v>Expense</v>
      </c>
    </row>
    <row r="411" spans="1:9" x14ac:dyDescent="0.3">
      <c r="A411" s="29" t="s">
        <v>59</v>
      </c>
      <c r="B411" s="33">
        <v>45190</v>
      </c>
      <c r="C411" s="29" t="s">
        <v>17</v>
      </c>
      <c r="D411" s="29">
        <v>177.9</v>
      </c>
      <c r="F411" s="34">
        <f t="shared" si="6"/>
        <v>-177.9</v>
      </c>
      <c r="G411" s="34" t="s">
        <v>18</v>
      </c>
      <c r="H411" s="34" t="str">
        <f>VLOOKUP(Transactions[[#This Row],[Sub-category]],TblDV45[#All],2)</f>
        <v>Living Expenses</v>
      </c>
      <c r="I411" s="34" t="str">
        <f>VLOOKUP(Transactions[[#This Row],[Sub-category]],TblDV45[#All],3)</f>
        <v>Expense</v>
      </c>
    </row>
    <row r="412" spans="1:9" x14ac:dyDescent="0.3">
      <c r="A412" s="29" t="s">
        <v>59</v>
      </c>
      <c r="B412" s="33">
        <v>45191</v>
      </c>
      <c r="C412" s="29" t="s">
        <v>60</v>
      </c>
      <c r="D412" s="29">
        <v>599</v>
      </c>
      <c r="F412" s="34">
        <f t="shared" si="6"/>
        <v>-599</v>
      </c>
      <c r="G412" s="34" t="s">
        <v>26</v>
      </c>
      <c r="H412" s="34" t="str">
        <f>VLOOKUP(Transactions[[#This Row],[Sub-category]],TblDV45[#All],2)</f>
        <v>Dining Out</v>
      </c>
      <c r="I412" s="34" t="str">
        <f>VLOOKUP(Transactions[[#This Row],[Sub-category]],TblDV45[#All],3)</f>
        <v>Expense</v>
      </c>
    </row>
    <row r="413" spans="1:9" x14ac:dyDescent="0.3">
      <c r="A413" s="29" t="s">
        <v>59</v>
      </c>
      <c r="B413" s="33">
        <v>45192</v>
      </c>
      <c r="C413" s="29" t="s">
        <v>36</v>
      </c>
      <c r="D413" s="29">
        <v>20.099999999999998</v>
      </c>
      <c r="F413" s="34">
        <f t="shared" si="6"/>
        <v>-20.099999999999998</v>
      </c>
      <c r="G413" s="34" t="s">
        <v>26</v>
      </c>
      <c r="H413" s="34" t="str">
        <f>VLOOKUP(Transactions[[#This Row],[Sub-category]],TblDV45[#All],2)</f>
        <v>Dining Out</v>
      </c>
      <c r="I413" s="34" t="str">
        <f>VLOOKUP(Transactions[[#This Row],[Sub-category]],TblDV45[#All],3)</f>
        <v>Expense</v>
      </c>
    </row>
    <row r="414" spans="1:9" x14ac:dyDescent="0.3">
      <c r="A414" s="29" t="s">
        <v>58</v>
      </c>
      <c r="B414" s="33">
        <v>45193</v>
      </c>
      <c r="C414" s="29" t="s">
        <v>37</v>
      </c>
      <c r="D414" s="29">
        <v>551</v>
      </c>
      <c r="F414" s="34">
        <f t="shared" si="6"/>
        <v>-551</v>
      </c>
      <c r="G414" s="34" t="s">
        <v>38</v>
      </c>
      <c r="H414" s="34" t="str">
        <f>VLOOKUP(Transactions[[#This Row],[Sub-category]],TblDV45[#All],2)</f>
        <v>Charity</v>
      </c>
      <c r="I414" s="34" t="str">
        <f>VLOOKUP(Transactions[[#This Row],[Sub-category]],TblDV45[#All],3)</f>
        <v>Expense</v>
      </c>
    </row>
    <row r="415" spans="1:9" x14ac:dyDescent="0.3">
      <c r="A415" s="29" t="s">
        <v>59</v>
      </c>
      <c r="B415" s="33">
        <v>45193</v>
      </c>
      <c r="C415" s="29" t="s">
        <v>21</v>
      </c>
      <c r="D415" s="29">
        <v>300</v>
      </c>
      <c r="F415" s="34">
        <f t="shared" si="6"/>
        <v>-300</v>
      </c>
      <c r="G415" s="34" t="s">
        <v>22</v>
      </c>
      <c r="H415" s="34" t="str">
        <f>VLOOKUP(Transactions[[#This Row],[Sub-category]],TblDV45[#All],2)</f>
        <v>Transport</v>
      </c>
      <c r="I415" s="34" t="str">
        <f>VLOOKUP(Transactions[[#This Row],[Sub-category]],TblDV45[#All],3)</f>
        <v>Expense</v>
      </c>
    </row>
    <row r="416" spans="1:9" x14ac:dyDescent="0.3">
      <c r="A416" s="29" t="s">
        <v>59</v>
      </c>
      <c r="B416" s="33">
        <v>45193</v>
      </c>
      <c r="C416" s="29" t="s">
        <v>11</v>
      </c>
      <c r="D416" s="29">
        <v>50</v>
      </c>
      <c r="F416" s="34">
        <f t="shared" si="6"/>
        <v>-50</v>
      </c>
      <c r="G416" s="34" t="s">
        <v>12</v>
      </c>
      <c r="H416" s="34" t="str">
        <f>VLOOKUP(Transactions[[#This Row],[Sub-category]],TblDV45[#All],2)</f>
        <v>Dining Out</v>
      </c>
      <c r="I416" s="34" t="str">
        <f>VLOOKUP(Transactions[[#This Row],[Sub-category]],TblDV45[#All],3)</f>
        <v>Expense</v>
      </c>
    </row>
    <row r="417" spans="1:9" x14ac:dyDescent="0.3">
      <c r="A417" s="29" t="s">
        <v>59</v>
      </c>
      <c r="B417" s="33">
        <v>45194</v>
      </c>
      <c r="C417" s="29" t="s">
        <v>11</v>
      </c>
      <c r="D417" s="29">
        <v>50</v>
      </c>
      <c r="F417" s="34">
        <f t="shared" si="6"/>
        <v>-50</v>
      </c>
      <c r="G417" s="34" t="s">
        <v>12</v>
      </c>
      <c r="H417" s="34" t="str">
        <f>VLOOKUP(Transactions[[#This Row],[Sub-category]],TblDV45[#All],2)</f>
        <v>Dining Out</v>
      </c>
      <c r="I417" s="34" t="str">
        <f>VLOOKUP(Transactions[[#This Row],[Sub-category]],TblDV45[#All],3)</f>
        <v>Expense</v>
      </c>
    </row>
    <row r="418" spans="1:9" x14ac:dyDescent="0.3">
      <c r="A418" s="29" t="s">
        <v>59</v>
      </c>
      <c r="B418" s="33">
        <v>45195</v>
      </c>
      <c r="C418" s="29" t="s">
        <v>11</v>
      </c>
      <c r="D418" s="29">
        <v>50</v>
      </c>
      <c r="F418" s="34">
        <f t="shared" si="6"/>
        <v>-50</v>
      </c>
      <c r="G418" s="34" t="s">
        <v>12</v>
      </c>
      <c r="H418" s="34" t="str">
        <f>VLOOKUP(Transactions[[#This Row],[Sub-category]],TblDV45[#All],2)</f>
        <v>Dining Out</v>
      </c>
      <c r="I418" s="34" t="str">
        <f>VLOOKUP(Transactions[[#This Row],[Sub-category]],TblDV45[#All],3)</f>
        <v>Expense</v>
      </c>
    </row>
    <row r="419" spans="1:9" x14ac:dyDescent="0.3">
      <c r="A419" s="29" t="s">
        <v>59</v>
      </c>
      <c r="B419" s="33">
        <v>45196</v>
      </c>
      <c r="C419" s="29" t="s">
        <v>11</v>
      </c>
      <c r="D419" s="29">
        <v>50</v>
      </c>
      <c r="F419" s="34">
        <f t="shared" si="6"/>
        <v>-50</v>
      </c>
      <c r="G419" s="34" t="s">
        <v>12</v>
      </c>
      <c r="H419" s="34" t="str">
        <f>VLOOKUP(Transactions[[#This Row],[Sub-category]],TblDV45[#All],2)</f>
        <v>Dining Out</v>
      </c>
      <c r="I419" s="34" t="str">
        <f>VLOOKUP(Transactions[[#This Row],[Sub-category]],TblDV45[#All],3)</f>
        <v>Expense</v>
      </c>
    </row>
    <row r="420" spans="1:9" x14ac:dyDescent="0.3">
      <c r="A420" s="29" t="s">
        <v>59</v>
      </c>
      <c r="B420" s="33">
        <v>45197</v>
      </c>
      <c r="C420" s="29" t="s">
        <v>11</v>
      </c>
      <c r="D420" s="29">
        <v>50</v>
      </c>
      <c r="F420" s="34">
        <f t="shared" si="6"/>
        <v>-50</v>
      </c>
      <c r="G420" s="34" t="s">
        <v>12</v>
      </c>
      <c r="H420" s="34" t="str">
        <f>VLOOKUP(Transactions[[#This Row],[Sub-category]],TblDV45[#All],2)</f>
        <v>Dining Out</v>
      </c>
      <c r="I420" s="34" t="str">
        <f>VLOOKUP(Transactions[[#This Row],[Sub-category]],TblDV45[#All],3)</f>
        <v>Expense</v>
      </c>
    </row>
    <row r="421" spans="1:9" x14ac:dyDescent="0.3">
      <c r="A421" s="29" t="s">
        <v>59</v>
      </c>
      <c r="B421" s="33">
        <v>45197</v>
      </c>
      <c r="C421" s="29" t="s">
        <v>17</v>
      </c>
      <c r="D421" s="29">
        <v>223</v>
      </c>
      <c r="F421" s="34">
        <f t="shared" si="6"/>
        <v>-223</v>
      </c>
      <c r="G421" s="34" t="s">
        <v>18</v>
      </c>
      <c r="H421" s="34" t="str">
        <f>VLOOKUP(Transactions[[#This Row],[Sub-category]],TblDV45[#All],2)</f>
        <v>Living Expenses</v>
      </c>
      <c r="I421" s="34" t="str">
        <f>VLOOKUP(Transactions[[#This Row],[Sub-category]],TblDV45[#All],3)</f>
        <v>Expense</v>
      </c>
    </row>
    <row r="422" spans="1:9" x14ac:dyDescent="0.3">
      <c r="A422" s="29" t="s">
        <v>59</v>
      </c>
      <c r="B422" s="33">
        <v>45198</v>
      </c>
      <c r="C422" s="29" t="s">
        <v>40</v>
      </c>
      <c r="D422" s="29">
        <v>1750</v>
      </c>
      <c r="F422" s="34">
        <f t="shared" si="6"/>
        <v>-1750</v>
      </c>
      <c r="G422" s="34" t="s">
        <v>25</v>
      </c>
      <c r="H422" s="34" t="str">
        <f>VLOOKUP(Transactions[[#This Row],[Sub-category]],TblDV45[#All],2)</f>
        <v>Discretionary</v>
      </c>
      <c r="I422" s="34" t="str">
        <f>VLOOKUP(Transactions[[#This Row],[Sub-category]],TblDV45[#All],3)</f>
        <v>Expense</v>
      </c>
    </row>
    <row r="423" spans="1:9" x14ac:dyDescent="0.3">
      <c r="A423" s="29" t="s">
        <v>59</v>
      </c>
      <c r="B423" s="33">
        <v>45199</v>
      </c>
      <c r="C423" s="29" t="s">
        <v>46</v>
      </c>
      <c r="D423" s="29">
        <v>653.4</v>
      </c>
      <c r="F423" s="34">
        <f t="shared" si="6"/>
        <v>-653.4</v>
      </c>
      <c r="G423" s="34" t="s">
        <v>25</v>
      </c>
      <c r="H423" s="34" t="str">
        <f>VLOOKUP(Transactions[[#This Row],[Sub-category]],TblDV45[#All],2)</f>
        <v>Discretionary</v>
      </c>
      <c r="I423" s="34" t="str">
        <f>VLOOKUP(Transactions[[#This Row],[Sub-category]],TblDV45[#All],3)</f>
        <v>Expense</v>
      </c>
    </row>
    <row r="424" spans="1:9" x14ac:dyDescent="0.3">
      <c r="A424" s="29" t="s">
        <v>59</v>
      </c>
      <c r="B424" s="33">
        <v>45199</v>
      </c>
      <c r="C424" s="29" t="s">
        <v>27</v>
      </c>
      <c r="D424" s="29">
        <v>120</v>
      </c>
      <c r="F424" s="34">
        <f t="shared" si="6"/>
        <v>-120</v>
      </c>
      <c r="G424" s="34" t="s">
        <v>28</v>
      </c>
      <c r="H424" s="34" t="str">
        <f>VLOOKUP(Transactions[[#This Row],[Sub-category]],TblDV45[#All],2)</f>
        <v>Transport</v>
      </c>
      <c r="I424" s="34" t="str">
        <f>VLOOKUP(Transactions[[#This Row],[Sub-category]],TblDV45[#All],3)</f>
        <v>Expense</v>
      </c>
    </row>
    <row r="425" spans="1:9" x14ac:dyDescent="0.3">
      <c r="A425" s="29" t="s">
        <v>59</v>
      </c>
      <c r="B425" s="33">
        <v>45199</v>
      </c>
      <c r="C425" s="29" t="s">
        <v>43</v>
      </c>
      <c r="D425" s="29">
        <v>250</v>
      </c>
      <c r="F425" s="34">
        <f t="shared" si="6"/>
        <v>-250</v>
      </c>
      <c r="G425" s="34" t="s">
        <v>26</v>
      </c>
      <c r="H425" s="34" t="str">
        <f>VLOOKUP(Transactions[[#This Row],[Sub-category]],TblDV45[#All],2)</f>
        <v>Dining Out</v>
      </c>
      <c r="I425" s="34" t="str">
        <f>VLOOKUP(Transactions[[#This Row],[Sub-category]],TblDV45[#All],3)</f>
        <v>Expense</v>
      </c>
    </row>
    <row r="426" spans="1:9" x14ac:dyDescent="0.3">
      <c r="A426" s="29" t="s">
        <v>59</v>
      </c>
      <c r="B426" s="33">
        <v>45200</v>
      </c>
      <c r="C426" s="29" t="s">
        <v>11</v>
      </c>
      <c r="D426" s="29">
        <v>50</v>
      </c>
      <c r="F426" s="34">
        <f t="shared" si="6"/>
        <v>-50</v>
      </c>
      <c r="G426" s="34" t="s">
        <v>12</v>
      </c>
      <c r="H426" s="34" t="str">
        <f>VLOOKUP(Transactions[[#This Row],[Sub-category]],TblDV45[#All],2)</f>
        <v>Dining Out</v>
      </c>
      <c r="I426" s="34" t="str">
        <f>VLOOKUP(Transactions[[#This Row],[Sub-category]],TblDV45[#All],3)</f>
        <v>Expense</v>
      </c>
    </row>
    <row r="427" spans="1:9" x14ac:dyDescent="0.3">
      <c r="A427" s="29" t="s">
        <v>59</v>
      </c>
      <c r="B427" s="33">
        <v>45202</v>
      </c>
      <c r="C427" s="29" t="s">
        <v>11</v>
      </c>
      <c r="D427" s="29">
        <v>50</v>
      </c>
      <c r="F427" s="34">
        <f t="shared" si="6"/>
        <v>-50</v>
      </c>
      <c r="G427" s="34" t="s">
        <v>12</v>
      </c>
      <c r="H427" s="34" t="str">
        <f>VLOOKUP(Transactions[[#This Row],[Sub-category]],TblDV45[#All],2)</f>
        <v>Dining Out</v>
      </c>
      <c r="I427" s="34" t="str">
        <f>VLOOKUP(Transactions[[#This Row],[Sub-category]],TblDV45[#All],3)</f>
        <v>Expense</v>
      </c>
    </row>
    <row r="428" spans="1:9" x14ac:dyDescent="0.3">
      <c r="A428" s="29" t="s">
        <v>58</v>
      </c>
      <c r="B428" s="33">
        <v>45202</v>
      </c>
      <c r="C428" s="29" t="s">
        <v>9</v>
      </c>
      <c r="E428" s="29">
        <v>30000</v>
      </c>
      <c r="F428" s="34">
        <f t="shared" si="6"/>
        <v>30000</v>
      </c>
      <c r="G428" s="34" t="s">
        <v>10</v>
      </c>
      <c r="H428" s="34" t="str">
        <f>VLOOKUP(Transactions[[#This Row],[Sub-category]],TblDV45[#All],2)</f>
        <v>Salary</v>
      </c>
      <c r="I428" s="34" t="str">
        <f>VLOOKUP(Transactions[[#This Row],[Sub-category]],TblDV45[#All],3)</f>
        <v>Income</v>
      </c>
    </row>
    <row r="429" spans="1:9" x14ac:dyDescent="0.3">
      <c r="A429" s="29" t="s">
        <v>59</v>
      </c>
      <c r="B429" s="33">
        <v>45203</v>
      </c>
      <c r="C429" s="29" t="s">
        <v>11</v>
      </c>
      <c r="D429" s="29">
        <v>50</v>
      </c>
      <c r="F429" s="34">
        <f t="shared" si="6"/>
        <v>-50</v>
      </c>
      <c r="G429" s="34" t="s">
        <v>12</v>
      </c>
      <c r="H429" s="34" t="str">
        <f>VLOOKUP(Transactions[[#This Row],[Sub-category]],TblDV45[#All],2)</f>
        <v>Dining Out</v>
      </c>
      <c r="I429" s="34" t="str">
        <f>VLOOKUP(Transactions[[#This Row],[Sub-category]],TblDV45[#All],3)</f>
        <v>Expense</v>
      </c>
    </row>
    <row r="430" spans="1:9" x14ac:dyDescent="0.3">
      <c r="A430" s="29" t="s">
        <v>58</v>
      </c>
      <c r="B430" s="33">
        <v>45205</v>
      </c>
      <c r="C430" s="29" t="s">
        <v>13</v>
      </c>
      <c r="D430" s="29">
        <v>6000</v>
      </c>
      <c r="F430" s="34">
        <f t="shared" si="6"/>
        <v>-6000</v>
      </c>
      <c r="G430" s="34" t="s">
        <v>14</v>
      </c>
      <c r="H430" s="34" t="str">
        <f>VLOOKUP(Transactions[[#This Row],[Sub-category]],TblDV45[#All],2)</f>
        <v>Living Expenses</v>
      </c>
      <c r="I430" s="34" t="str">
        <f>VLOOKUP(Transactions[[#This Row],[Sub-category]],TblDV45[#All],3)</f>
        <v>Expense</v>
      </c>
    </row>
    <row r="431" spans="1:9" x14ac:dyDescent="0.3">
      <c r="A431" s="29" t="s">
        <v>58</v>
      </c>
      <c r="B431" s="33">
        <v>45205</v>
      </c>
      <c r="C431" s="29" t="s">
        <v>15</v>
      </c>
      <c r="D431" s="29">
        <v>2500</v>
      </c>
      <c r="F431" s="34">
        <f t="shared" si="6"/>
        <v>-2500</v>
      </c>
      <c r="G431" s="34" t="s">
        <v>16</v>
      </c>
      <c r="H431" s="34" t="str">
        <f>VLOOKUP(Transactions[[#This Row],[Sub-category]],TblDV45[#All],2)</f>
        <v>Transport</v>
      </c>
      <c r="I431" s="34" t="str">
        <f>VLOOKUP(Transactions[[#This Row],[Sub-category]],TblDV45[#All],3)</f>
        <v>Expense</v>
      </c>
    </row>
    <row r="432" spans="1:9" x14ac:dyDescent="0.3">
      <c r="A432" s="29" t="s">
        <v>59</v>
      </c>
      <c r="B432" s="33">
        <v>45205</v>
      </c>
      <c r="C432" s="29" t="s">
        <v>11</v>
      </c>
      <c r="D432" s="29">
        <v>50</v>
      </c>
      <c r="F432" s="34">
        <f t="shared" si="6"/>
        <v>-50</v>
      </c>
      <c r="G432" s="34" t="s">
        <v>12</v>
      </c>
      <c r="H432" s="34" t="str">
        <f>VLOOKUP(Transactions[[#This Row],[Sub-category]],TblDV45[#All],2)</f>
        <v>Dining Out</v>
      </c>
      <c r="I432" s="34" t="str">
        <f>VLOOKUP(Transactions[[#This Row],[Sub-category]],TblDV45[#All],3)</f>
        <v>Expense</v>
      </c>
    </row>
    <row r="433" spans="1:9" x14ac:dyDescent="0.3">
      <c r="A433" s="29" t="s">
        <v>59</v>
      </c>
      <c r="B433" s="33">
        <v>45205</v>
      </c>
      <c r="C433" s="29" t="s">
        <v>11</v>
      </c>
      <c r="D433" s="29">
        <v>50</v>
      </c>
      <c r="F433" s="34">
        <f t="shared" si="6"/>
        <v>-50</v>
      </c>
      <c r="G433" s="34" t="s">
        <v>12</v>
      </c>
      <c r="H433" s="34" t="str">
        <f>VLOOKUP(Transactions[[#This Row],[Sub-category]],TblDV45[#All],2)</f>
        <v>Dining Out</v>
      </c>
      <c r="I433" s="34" t="str">
        <f>VLOOKUP(Transactions[[#This Row],[Sub-category]],TblDV45[#All],3)</f>
        <v>Expense</v>
      </c>
    </row>
    <row r="434" spans="1:9" x14ac:dyDescent="0.3">
      <c r="A434" s="29" t="s">
        <v>59</v>
      </c>
      <c r="B434" s="33">
        <v>45206</v>
      </c>
      <c r="C434" s="29" t="s">
        <v>11</v>
      </c>
      <c r="D434" s="29">
        <v>50</v>
      </c>
      <c r="F434" s="34">
        <f t="shared" si="6"/>
        <v>-50</v>
      </c>
      <c r="G434" s="34" t="s">
        <v>12</v>
      </c>
      <c r="H434" s="34" t="str">
        <f>VLOOKUP(Transactions[[#This Row],[Sub-category]],TblDV45[#All],2)</f>
        <v>Dining Out</v>
      </c>
      <c r="I434" s="34" t="str">
        <f>VLOOKUP(Transactions[[#This Row],[Sub-category]],TblDV45[#All],3)</f>
        <v>Expense</v>
      </c>
    </row>
    <row r="435" spans="1:9" x14ac:dyDescent="0.3">
      <c r="A435" s="29" t="s">
        <v>59</v>
      </c>
      <c r="B435" s="33">
        <v>45207</v>
      </c>
      <c r="C435" s="29" t="s">
        <v>11</v>
      </c>
      <c r="D435" s="29">
        <v>50</v>
      </c>
      <c r="F435" s="34">
        <f t="shared" si="6"/>
        <v>-50</v>
      </c>
      <c r="G435" s="34" t="s">
        <v>12</v>
      </c>
      <c r="H435" s="34" t="str">
        <f>VLOOKUP(Transactions[[#This Row],[Sub-category]],TblDV45[#All],2)</f>
        <v>Dining Out</v>
      </c>
      <c r="I435" s="34" t="str">
        <f>VLOOKUP(Transactions[[#This Row],[Sub-category]],TblDV45[#All],3)</f>
        <v>Expense</v>
      </c>
    </row>
    <row r="436" spans="1:9" x14ac:dyDescent="0.3">
      <c r="A436" s="29" t="s">
        <v>59</v>
      </c>
      <c r="B436" s="33">
        <v>45207</v>
      </c>
      <c r="C436" s="29" t="s">
        <v>17</v>
      </c>
      <c r="D436" s="29">
        <v>105</v>
      </c>
      <c r="F436" s="34">
        <f t="shared" si="6"/>
        <v>-105</v>
      </c>
      <c r="G436" s="34" t="s">
        <v>18</v>
      </c>
      <c r="H436" s="34" t="str">
        <f>VLOOKUP(Transactions[[#This Row],[Sub-category]],TblDV45[#All],2)</f>
        <v>Living Expenses</v>
      </c>
      <c r="I436" s="34" t="str">
        <f>VLOOKUP(Transactions[[#This Row],[Sub-category]],TblDV45[#All],3)</f>
        <v>Expense</v>
      </c>
    </row>
    <row r="437" spans="1:9" x14ac:dyDescent="0.3">
      <c r="A437" s="29" t="s">
        <v>58</v>
      </c>
      <c r="B437" s="33">
        <v>45210</v>
      </c>
      <c r="C437" s="29" t="s">
        <v>19</v>
      </c>
      <c r="D437" s="29">
        <v>920</v>
      </c>
      <c r="F437" s="34">
        <f t="shared" si="6"/>
        <v>-920</v>
      </c>
      <c r="G437" s="34" t="s">
        <v>20</v>
      </c>
      <c r="H437" s="34" t="str">
        <f>VLOOKUP(Transactions[[#This Row],[Sub-category]],TblDV45[#All],2)</f>
        <v>Living Expenses</v>
      </c>
      <c r="I437" s="34" t="str">
        <f>VLOOKUP(Transactions[[#This Row],[Sub-category]],TblDV45[#All],3)</f>
        <v>Expense</v>
      </c>
    </row>
    <row r="438" spans="1:9" x14ac:dyDescent="0.3">
      <c r="A438" s="29" t="s">
        <v>59</v>
      </c>
      <c r="B438" s="33">
        <v>45210</v>
      </c>
      <c r="C438" s="29" t="s">
        <v>11</v>
      </c>
      <c r="D438" s="29">
        <v>50</v>
      </c>
      <c r="F438" s="34">
        <f t="shared" ref="F438:F474" si="7">E438-D438</f>
        <v>-50</v>
      </c>
      <c r="G438" s="34" t="s">
        <v>12</v>
      </c>
      <c r="H438" s="34" t="str">
        <f>VLOOKUP(Transactions[[#This Row],[Sub-category]],TblDV45[#All],2)</f>
        <v>Dining Out</v>
      </c>
      <c r="I438" s="34" t="str">
        <f>VLOOKUP(Transactions[[#This Row],[Sub-category]],TblDV45[#All],3)</f>
        <v>Expense</v>
      </c>
    </row>
    <row r="439" spans="1:9" x14ac:dyDescent="0.3">
      <c r="A439" s="29" t="s">
        <v>59</v>
      </c>
      <c r="B439" s="33">
        <v>45211</v>
      </c>
      <c r="C439" s="29" t="s">
        <v>11</v>
      </c>
      <c r="D439" s="29">
        <v>50</v>
      </c>
      <c r="F439" s="34">
        <f t="shared" si="7"/>
        <v>-50</v>
      </c>
      <c r="G439" s="34" t="s">
        <v>12</v>
      </c>
      <c r="H439" s="34" t="str">
        <f>VLOOKUP(Transactions[[#This Row],[Sub-category]],TblDV45[#All],2)</f>
        <v>Dining Out</v>
      </c>
      <c r="I439" s="34" t="str">
        <f>VLOOKUP(Transactions[[#This Row],[Sub-category]],TblDV45[#All],3)</f>
        <v>Expense</v>
      </c>
    </row>
    <row r="440" spans="1:9" x14ac:dyDescent="0.3">
      <c r="A440" s="29" t="s">
        <v>59</v>
      </c>
      <c r="B440" s="33">
        <v>45212</v>
      </c>
      <c r="C440" s="29" t="s">
        <v>21</v>
      </c>
      <c r="D440" s="29">
        <v>300</v>
      </c>
      <c r="F440" s="34">
        <f t="shared" si="7"/>
        <v>-300</v>
      </c>
      <c r="G440" s="34" t="s">
        <v>22</v>
      </c>
      <c r="H440" s="34" t="str">
        <f>VLOOKUP(Transactions[[#This Row],[Sub-category]],TblDV45[#All],2)</f>
        <v>Transport</v>
      </c>
      <c r="I440" s="34" t="str">
        <f>VLOOKUP(Transactions[[#This Row],[Sub-category]],TblDV45[#All],3)</f>
        <v>Expense</v>
      </c>
    </row>
    <row r="441" spans="1:9" x14ac:dyDescent="0.3">
      <c r="A441" s="29" t="s">
        <v>59</v>
      </c>
      <c r="B441" s="33">
        <v>45212</v>
      </c>
      <c r="C441" s="29" t="s">
        <v>11</v>
      </c>
      <c r="D441" s="29">
        <v>50</v>
      </c>
      <c r="F441" s="34">
        <f t="shared" si="7"/>
        <v>-50</v>
      </c>
      <c r="G441" s="34" t="s">
        <v>12</v>
      </c>
      <c r="H441" s="34" t="str">
        <f>VLOOKUP(Transactions[[#This Row],[Sub-category]],TblDV45[#All],2)</f>
        <v>Dining Out</v>
      </c>
      <c r="I441" s="34" t="str">
        <f>VLOOKUP(Transactions[[#This Row],[Sub-category]],TblDV45[#All],3)</f>
        <v>Expense</v>
      </c>
    </row>
    <row r="442" spans="1:9" x14ac:dyDescent="0.3">
      <c r="A442" s="29" t="s">
        <v>59</v>
      </c>
      <c r="B442" s="33">
        <v>45213</v>
      </c>
      <c r="C442" s="29" t="s">
        <v>11</v>
      </c>
      <c r="D442" s="29">
        <v>50</v>
      </c>
      <c r="F442" s="34">
        <f t="shared" si="7"/>
        <v>-50</v>
      </c>
      <c r="G442" s="34" t="s">
        <v>12</v>
      </c>
      <c r="H442" s="34" t="str">
        <f>VLOOKUP(Transactions[[#This Row],[Sub-category]],TblDV45[#All],2)</f>
        <v>Dining Out</v>
      </c>
      <c r="I442" s="34" t="str">
        <f>VLOOKUP(Transactions[[#This Row],[Sub-category]],TblDV45[#All],3)</f>
        <v>Expense</v>
      </c>
    </row>
    <row r="443" spans="1:9" x14ac:dyDescent="0.3">
      <c r="A443" s="29" t="s">
        <v>59</v>
      </c>
      <c r="B443" s="33">
        <v>45214</v>
      </c>
      <c r="C443" s="29" t="s">
        <v>17</v>
      </c>
      <c r="D443" s="29">
        <v>143.9</v>
      </c>
      <c r="F443" s="34">
        <f t="shared" si="7"/>
        <v>-143.9</v>
      </c>
      <c r="G443" s="34" t="s">
        <v>18</v>
      </c>
      <c r="H443" s="34" t="str">
        <f>VLOOKUP(Transactions[[#This Row],[Sub-category]],TblDV45[#All],2)</f>
        <v>Living Expenses</v>
      </c>
      <c r="I443" s="34" t="str">
        <f>VLOOKUP(Transactions[[#This Row],[Sub-category]],TblDV45[#All],3)</f>
        <v>Expense</v>
      </c>
    </row>
    <row r="444" spans="1:9" x14ac:dyDescent="0.3">
      <c r="A444" s="29" t="s">
        <v>59</v>
      </c>
      <c r="B444" s="33">
        <v>45214</v>
      </c>
      <c r="C444" s="29" t="s">
        <v>11</v>
      </c>
      <c r="D444" s="29">
        <v>50</v>
      </c>
      <c r="F444" s="34">
        <f t="shared" si="7"/>
        <v>-50</v>
      </c>
      <c r="G444" s="34" t="s">
        <v>12</v>
      </c>
      <c r="H444" s="34" t="str">
        <f>VLOOKUP(Transactions[[#This Row],[Sub-category]],TblDV45[#All],2)</f>
        <v>Dining Out</v>
      </c>
      <c r="I444" s="34" t="str">
        <f>VLOOKUP(Transactions[[#This Row],[Sub-category]],TblDV45[#All],3)</f>
        <v>Expense</v>
      </c>
    </row>
    <row r="445" spans="1:9" x14ac:dyDescent="0.3">
      <c r="A445" s="29" t="s">
        <v>59</v>
      </c>
      <c r="B445" s="33">
        <v>45215</v>
      </c>
      <c r="C445" s="29" t="s">
        <v>11</v>
      </c>
      <c r="D445" s="29">
        <v>50</v>
      </c>
      <c r="F445" s="34">
        <f t="shared" si="7"/>
        <v>-50</v>
      </c>
      <c r="G445" s="34" t="s">
        <v>12</v>
      </c>
      <c r="H445" s="34" t="str">
        <f>VLOOKUP(Transactions[[#This Row],[Sub-category]],TblDV45[#All],2)</f>
        <v>Dining Out</v>
      </c>
      <c r="I445" s="34" t="str">
        <f>VLOOKUP(Transactions[[#This Row],[Sub-category]],TblDV45[#All],3)</f>
        <v>Expense</v>
      </c>
    </row>
    <row r="446" spans="1:9" x14ac:dyDescent="0.3">
      <c r="A446" s="29" t="s">
        <v>59</v>
      </c>
      <c r="B446" s="33">
        <v>45215</v>
      </c>
      <c r="C446" s="29" t="s">
        <v>23</v>
      </c>
      <c r="D446" s="29">
        <v>140</v>
      </c>
      <c r="F446" s="34">
        <f t="shared" si="7"/>
        <v>-140</v>
      </c>
      <c r="G446" s="34" t="s">
        <v>24</v>
      </c>
      <c r="H446" s="34" t="str">
        <f>VLOOKUP(Transactions[[#This Row],[Sub-category]],TblDV45[#All],2)</f>
        <v>Discretionary</v>
      </c>
      <c r="I446" s="34" t="str">
        <f>VLOOKUP(Transactions[[#This Row],[Sub-category]],TblDV45[#All],3)</f>
        <v>Expense</v>
      </c>
    </row>
    <row r="447" spans="1:9" x14ac:dyDescent="0.3">
      <c r="A447" s="29" t="s">
        <v>59</v>
      </c>
      <c r="B447" s="33">
        <v>45215</v>
      </c>
      <c r="C447" s="29" t="s">
        <v>46</v>
      </c>
      <c r="D447" s="29">
        <v>2006.7</v>
      </c>
      <c r="F447" s="34">
        <f t="shared" si="7"/>
        <v>-2006.7</v>
      </c>
      <c r="G447" s="34" t="s">
        <v>25</v>
      </c>
      <c r="H447" s="34" t="str">
        <f>VLOOKUP(Transactions[[#This Row],[Sub-category]],TblDV45[#All],2)</f>
        <v>Discretionary</v>
      </c>
      <c r="I447" s="34" t="str">
        <f>VLOOKUP(Transactions[[#This Row],[Sub-category]],TblDV45[#All],3)</f>
        <v>Expense</v>
      </c>
    </row>
    <row r="448" spans="1:9" x14ac:dyDescent="0.3">
      <c r="A448" s="29" t="s">
        <v>59</v>
      </c>
      <c r="B448" s="33">
        <v>45215</v>
      </c>
      <c r="C448" s="29" t="s">
        <v>48</v>
      </c>
      <c r="D448" s="29">
        <v>200</v>
      </c>
      <c r="F448" s="34">
        <f t="shared" si="7"/>
        <v>-200</v>
      </c>
      <c r="G448" s="34" t="s">
        <v>26</v>
      </c>
      <c r="H448" s="34" t="str">
        <f>VLOOKUP(Transactions[[#This Row],[Sub-category]],TblDV45[#All],2)</f>
        <v>Dining Out</v>
      </c>
      <c r="I448" s="34" t="str">
        <f>VLOOKUP(Transactions[[#This Row],[Sub-category]],TblDV45[#All],3)</f>
        <v>Expense</v>
      </c>
    </row>
    <row r="449" spans="1:9" x14ac:dyDescent="0.3">
      <c r="A449" s="29" t="s">
        <v>59</v>
      </c>
      <c r="B449" s="33">
        <v>45216</v>
      </c>
      <c r="C449" s="29" t="s">
        <v>27</v>
      </c>
      <c r="D449" s="29">
        <v>100</v>
      </c>
      <c r="F449" s="34">
        <f t="shared" si="7"/>
        <v>-100</v>
      </c>
      <c r="G449" s="34" t="s">
        <v>28</v>
      </c>
      <c r="H449" s="34" t="str">
        <f>VLOOKUP(Transactions[[#This Row],[Sub-category]],TblDV45[#All],2)</f>
        <v>Transport</v>
      </c>
      <c r="I449" s="34" t="str">
        <f>VLOOKUP(Transactions[[#This Row],[Sub-category]],TblDV45[#All],3)</f>
        <v>Expense</v>
      </c>
    </row>
    <row r="450" spans="1:9" x14ac:dyDescent="0.3">
      <c r="A450" s="29" t="s">
        <v>58</v>
      </c>
      <c r="B450" s="33">
        <v>45217</v>
      </c>
      <c r="C450" s="29" t="s">
        <v>29</v>
      </c>
      <c r="D450" s="29">
        <v>300</v>
      </c>
      <c r="F450" s="34">
        <f t="shared" si="7"/>
        <v>-300</v>
      </c>
      <c r="G450" s="34" t="s">
        <v>30</v>
      </c>
      <c r="H450" s="34" t="str">
        <f>VLOOKUP(Transactions[[#This Row],[Sub-category]],TblDV45[#All],2)</f>
        <v>Discretionary</v>
      </c>
      <c r="I450" s="34" t="str">
        <f>VLOOKUP(Transactions[[#This Row],[Sub-category]],TblDV45[#All],3)</f>
        <v>Expense</v>
      </c>
    </row>
    <row r="451" spans="1:9" x14ac:dyDescent="0.3">
      <c r="A451" s="29" t="s">
        <v>59</v>
      </c>
      <c r="B451" s="33">
        <v>45217</v>
      </c>
      <c r="C451" s="29" t="s">
        <v>11</v>
      </c>
      <c r="D451" s="29">
        <v>50</v>
      </c>
      <c r="F451" s="34">
        <f t="shared" si="7"/>
        <v>-50</v>
      </c>
      <c r="G451" s="34" t="s">
        <v>12</v>
      </c>
      <c r="H451" s="34" t="str">
        <f>VLOOKUP(Transactions[[#This Row],[Sub-category]],TblDV45[#All],2)</f>
        <v>Dining Out</v>
      </c>
      <c r="I451" s="34" t="str">
        <f>VLOOKUP(Transactions[[#This Row],[Sub-category]],TblDV45[#All],3)</f>
        <v>Expense</v>
      </c>
    </row>
    <row r="452" spans="1:9" x14ac:dyDescent="0.3">
      <c r="A452" s="29" t="s">
        <v>59</v>
      </c>
      <c r="B452" s="33">
        <v>45218</v>
      </c>
      <c r="C452" s="29" t="s">
        <v>11</v>
      </c>
      <c r="D452" s="29">
        <v>50</v>
      </c>
      <c r="F452" s="34">
        <f t="shared" si="7"/>
        <v>-50</v>
      </c>
      <c r="G452" s="34" t="s">
        <v>12</v>
      </c>
      <c r="H452" s="34" t="str">
        <f>VLOOKUP(Transactions[[#This Row],[Sub-category]],TblDV45[#All],2)</f>
        <v>Dining Out</v>
      </c>
      <c r="I452" s="34" t="str">
        <f>VLOOKUP(Transactions[[#This Row],[Sub-category]],TblDV45[#All],3)</f>
        <v>Expense</v>
      </c>
    </row>
    <row r="453" spans="1:9" x14ac:dyDescent="0.3">
      <c r="A453" s="29" t="s">
        <v>58</v>
      </c>
      <c r="B453" s="33">
        <v>45218</v>
      </c>
      <c r="C453" s="29" t="s">
        <v>41</v>
      </c>
      <c r="D453" s="29">
        <v>100</v>
      </c>
      <c r="F453" s="34">
        <f t="shared" si="7"/>
        <v>-100</v>
      </c>
      <c r="G453" s="34" t="s">
        <v>42</v>
      </c>
      <c r="H453" s="34" t="str">
        <f>VLOOKUP(Transactions[[#This Row],[Sub-category]],TblDV45[#All],2)</f>
        <v>Medical</v>
      </c>
      <c r="I453" s="34" t="str">
        <f>VLOOKUP(Transactions[[#This Row],[Sub-category]],TblDV45[#All],3)</f>
        <v>Expense</v>
      </c>
    </row>
    <row r="454" spans="1:9" x14ac:dyDescent="0.3">
      <c r="A454" s="29" t="s">
        <v>58</v>
      </c>
      <c r="B454" s="33">
        <v>45218</v>
      </c>
      <c r="C454" s="29" t="s">
        <v>47</v>
      </c>
      <c r="D454" s="29">
        <v>699</v>
      </c>
      <c r="F454" s="34">
        <f t="shared" si="7"/>
        <v>-699</v>
      </c>
      <c r="G454" s="34" t="s">
        <v>33</v>
      </c>
      <c r="H454" s="34" t="str">
        <f>VLOOKUP(Transactions[[#This Row],[Sub-category]],TblDV45[#All],2)</f>
        <v>Living Expenses</v>
      </c>
      <c r="I454" s="34" t="str">
        <f>VLOOKUP(Transactions[[#This Row],[Sub-category]],TblDV45[#All],3)</f>
        <v>Expense</v>
      </c>
    </row>
    <row r="455" spans="1:9" x14ac:dyDescent="0.3">
      <c r="A455" s="29" t="s">
        <v>59</v>
      </c>
      <c r="B455" s="33">
        <v>45219</v>
      </c>
      <c r="C455" s="29" t="s">
        <v>34</v>
      </c>
      <c r="D455" s="29">
        <v>500</v>
      </c>
      <c r="F455" s="34">
        <f t="shared" si="7"/>
        <v>-500</v>
      </c>
      <c r="G455" s="34" t="s">
        <v>34</v>
      </c>
      <c r="H455" s="34" t="str">
        <f>VLOOKUP(Transactions[[#This Row],[Sub-category]],TblDV45[#All],2)</f>
        <v>Discretionary</v>
      </c>
      <c r="I455" s="34" t="str">
        <f>VLOOKUP(Transactions[[#This Row],[Sub-category]],TblDV45[#All],3)</f>
        <v>Expense</v>
      </c>
    </row>
    <row r="456" spans="1:9" x14ac:dyDescent="0.3">
      <c r="A456" s="29" t="s">
        <v>59</v>
      </c>
      <c r="B456" s="33">
        <v>45219</v>
      </c>
      <c r="C456" s="29" t="s">
        <v>35</v>
      </c>
      <c r="D456" s="29">
        <v>500</v>
      </c>
      <c r="F456" s="34">
        <f t="shared" si="7"/>
        <v>-500</v>
      </c>
      <c r="G456" s="34" t="s">
        <v>24</v>
      </c>
      <c r="H456" s="34" t="str">
        <f>VLOOKUP(Transactions[[#This Row],[Sub-category]],TblDV45[#All],2)</f>
        <v>Discretionary</v>
      </c>
      <c r="I456" s="34" t="str">
        <f>VLOOKUP(Transactions[[#This Row],[Sub-category]],TblDV45[#All],3)</f>
        <v>Expense</v>
      </c>
    </row>
    <row r="457" spans="1:9" x14ac:dyDescent="0.3">
      <c r="A457" s="29" t="s">
        <v>59</v>
      </c>
      <c r="B457" s="33">
        <v>45219</v>
      </c>
      <c r="C457" s="29" t="s">
        <v>11</v>
      </c>
      <c r="D457" s="29">
        <v>50</v>
      </c>
      <c r="F457" s="34">
        <f t="shared" si="7"/>
        <v>-50</v>
      </c>
      <c r="G457" s="34" t="s">
        <v>12</v>
      </c>
      <c r="H457" s="34" t="str">
        <f>VLOOKUP(Transactions[[#This Row],[Sub-category]],TblDV45[#All],2)</f>
        <v>Dining Out</v>
      </c>
      <c r="I457" s="34" t="str">
        <f>VLOOKUP(Transactions[[#This Row],[Sub-category]],TblDV45[#All],3)</f>
        <v>Expense</v>
      </c>
    </row>
    <row r="458" spans="1:9" x14ac:dyDescent="0.3">
      <c r="A458" s="29" t="s">
        <v>59</v>
      </c>
      <c r="B458" s="33">
        <v>45220</v>
      </c>
      <c r="C458" s="29" t="s">
        <v>11</v>
      </c>
      <c r="D458" s="29">
        <v>50</v>
      </c>
      <c r="F458" s="34">
        <f t="shared" si="7"/>
        <v>-50</v>
      </c>
      <c r="G458" s="34" t="s">
        <v>12</v>
      </c>
      <c r="H458" s="34" t="str">
        <f>VLOOKUP(Transactions[[#This Row],[Sub-category]],TblDV45[#All],2)</f>
        <v>Dining Out</v>
      </c>
      <c r="I458" s="34" t="str">
        <f>VLOOKUP(Transactions[[#This Row],[Sub-category]],TblDV45[#All],3)</f>
        <v>Expense</v>
      </c>
    </row>
    <row r="459" spans="1:9" x14ac:dyDescent="0.3">
      <c r="A459" s="29" t="s">
        <v>59</v>
      </c>
      <c r="B459" s="33">
        <v>45221</v>
      </c>
      <c r="C459" s="29" t="s">
        <v>11</v>
      </c>
      <c r="D459" s="29">
        <v>50</v>
      </c>
      <c r="F459" s="34">
        <f t="shared" si="7"/>
        <v>-50</v>
      </c>
      <c r="G459" s="34" t="s">
        <v>12</v>
      </c>
      <c r="H459" s="34" t="str">
        <f>VLOOKUP(Transactions[[#This Row],[Sub-category]],TblDV45[#All],2)</f>
        <v>Dining Out</v>
      </c>
      <c r="I459" s="34" t="str">
        <f>VLOOKUP(Transactions[[#This Row],[Sub-category]],TblDV45[#All],3)</f>
        <v>Expense</v>
      </c>
    </row>
    <row r="460" spans="1:9" x14ac:dyDescent="0.3">
      <c r="A460" s="29" t="s">
        <v>59</v>
      </c>
      <c r="B460" s="33">
        <v>45221</v>
      </c>
      <c r="C460" s="29" t="s">
        <v>17</v>
      </c>
      <c r="D460" s="29">
        <v>178.9</v>
      </c>
      <c r="F460" s="34">
        <f t="shared" si="7"/>
        <v>-178.9</v>
      </c>
      <c r="G460" s="34" t="s">
        <v>18</v>
      </c>
      <c r="H460" s="34" t="str">
        <f>VLOOKUP(Transactions[[#This Row],[Sub-category]],TblDV45[#All],2)</f>
        <v>Living Expenses</v>
      </c>
      <c r="I460" s="34" t="str">
        <f>VLOOKUP(Transactions[[#This Row],[Sub-category]],TblDV45[#All],3)</f>
        <v>Expense</v>
      </c>
    </row>
    <row r="461" spans="1:9" x14ac:dyDescent="0.3">
      <c r="A461" s="29" t="s">
        <v>59</v>
      </c>
      <c r="B461" s="33">
        <v>45222</v>
      </c>
      <c r="C461" s="29" t="s">
        <v>60</v>
      </c>
      <c r="D461" s="29">
        <v>599</v>
      </c>
      <c r="F461" s="34">
        <f t="shared" si="7"/>
        <v>-599</v>
      </c>
      <c r="G461" s="34" t="s">
        <v>26</v>
      </c>
      <c r="H461" s="34" t="str">
        <f>VLOOKUP(Transactions[[#This Row],[Sub-category]],TblDV45[#All],2)</f>
        <v>Dining Out</v>
      </c>
      <c r="I461" s="34" t="str">
        <f>VLOOKUP(Transactions[[#This Row],[Sub-category]],TblDV45[#All],3)</f>
        <v>Expense</v>
      </c>
    </row>
    <row r="462" spans="1:9" x14ac:dyDescent="0.3">
      <c r="A462" s="29" t="s">
        <v>59</v>
      </c>
      <c r="B462" s="33">
        <v>45223</v>
      </c>
      <c r="C462" s="29" t="s">
        <v>36</v>
      </c>
      <c r="D462" s="29">
        <v>21.099999999999998</v>
      </c>
      <c r="F462" s="34">
        <f t="shared" si="7"/>
        <v>-21.099999999999998</v>
      </c>
      <c r="G462" s="34" t="s">
        <v>26</v>
      </c>
      <c r="H462" s="34" t="str">
        <f>VLOOKUP(Transactions[[#This Row],[Sub-category]],TblDV45[#All],2)</f>
        <v>Dining Out</v>
      </c>
      <c r="I462" s="34" t="str">
        <f>VLOOKUP(Transactions[[#This Row],[Sub-category]],TblDV45[#All],3)</f>
        <v>Expense</v>
      </c>
    </row>
    <row r="463" spans="1:9" x14ac:dyDescent="0.3">
      <c r="A463" s="29" t="s">
        <v>58</v>
      </c>
      <c r="B463" s="33">
        <v>45224</v>
      </c>
      <c r="C463" s="29" t="s">
        <v>37</v>
      </c>
      <c r="D463" s="29">
        <v>551</v>
      </c>
      <c r="F463" s="34">
        <f t="shared" si="7"/>
        <v>-551</v>
      </c>
      <c r="G463" s="34" t="s">
        <v>38</v>
      </c>
      <c r="H463" s="34" t="str">
        <f>VLOOKUP(Transactions[[#This Row],[Sub-category]],TblDV45[#All],2)</f>
        <v>Charity</v>
      </c>
      <c r="I463" s="34" t="str">
        <f>VLOOKUP(Transactions[[#This Row],[Sub-category]],TblDV45[#All],3)</f>
        <v>Expense</v>
      </c>
    </row>
    <row r="464" spans="1:9" x14ac:dyDescent="0.3">
      <c r="A464" s="29" t="s">
        <v>59</v>
      </c>
      <c r="B464" s="33">
        <v>45224</v>
      </c>
      <c r="C464" s="29" t="s">
        <v>21</v>
      </c>
      <c r="D464" s="29">
        <v>300</v>
      </c>
      <c r="F464" s="34">
        <f t="shared" si="7"/>
        <v>-300</v>
      </c>
      <c r="G464" s="34" t="s">
        <v>22</v>
      </c>
      <c r="H464" s="34" t="str">
        <f>VLOOKUP(Transactions[[#This Row],[Sub-category]],TblDV45[#All],2)</f>
        <v>Transport</v>
      </c>
      <c r="I464" s="34" t="str">
        <f>VLOOKUP(Transactions[[#This Row],[Sub-category]],TblDV45[#All],3)</f>
        <v>Expense</v>
      </c>
    </row>
    <row r="465" spans="1:9" x14ac:dyDescent="0.3">
      <c r="A465" s="29" t="s">
        <v>59</v>
      </c>
      <c r="B465" s="33">
        <v>45224</v>
      </c>
      <c r="C465" s="29" t="s">
        <v>11</v>
      </c>
      <c r="D465" s="29">
        <v>50</v>
      </c>
      <c r="F465" s="34">
        <f t="shared" si="7"/>
        <v>-50</v>
      </c>
      <c r="G465" s="34" t="s">
        <v>12</v>
      </c>
      <c r="H465" s="34" t="str">
        <f>VLOOKUP(Transactions[[#This Row],[Sub-category]],TblDV45[#All],2)</f>
        <v>Dining Out</v>
      </c>
      <c r="I465" s="34" t="str">
        <f>VLOOKUP(Transactions[[#This Row],[Sub-category]],TblDV45[#All],3)</f>
        <v>Expense</v>
      </c>
    </row>
    <row r="466" spans="1:9" x14ac:dyDescent="0.3">
      <c r="A466" s="29" t="s">
        <v>59</v>
      </c>
      <c r="B466" s="33">
        <v>45225</v>
      </c>
      <c r="C466" s="29" t="s">
        <v>11</v>
      </c>
      <c r="D466" s="29">
        <v>50</v>
      </c>
      <c r="F466" s="34">
        <f t="shared" si="7"/>
        <v>-50</v>
      </c>
      <c r="G466" s="34" t="s">
        <v>12</v>
      </c>
      <c r="H466" s="34" t="str">
        <f>VLOOKUP(Transactions[[#This Row],[Sub-category]],TblDV45[#All],2)</f>
        <v>Dining Out</v>
      </c>
      <c r="I466" s="34" t="str">
        <f>VLOOKUP(Transactions[[#This Row],[Sub-category]],TblDV45[#All],3)</f>
        <v>Expense</v>
      </c>
    </row>
    <row r="467" spans="1:9" x14ac:dyDescent="0.3">
      <c r="A467" s="29" t="s">
        <v>59</v>
      </c>
      <c r="B467" s="33">
        <v>45226</v>
      </c>
      <c r="C467" s="29" t="s">
        <v>11</v>
      </c>
      <c r="D467" s="29">
        <v>50</v>
      </c>
      <c r="F467" s="34">
        <f t="shared" si="7"/>
        <v>-50</v>
      </c>
      <c r="G467" s="34" t="s">
        <v>12</v>
      </c>
      <c r="H467" s="34" t="str">
        <f>VLOOKUP(Transactions[[#This Row],[Sub-category]],TblDV45[#All],2)</f>
        <v>Dining Out</v>
      </c>
      <c r="I467" s="34" t="str">
        <f>VLOOKUP(Transactions[[#This Row],[Sub-category]],TblDV45[#All],3)</f>
        <v>Expense</v>
      </c>
    </row>
    <row r="468" spans="1:9" x14ac:dyDescent="0.3">
      <c r="A468" s="29" t="s">
        <v>59</v>
      </c>
      <c r="B468" s="33">
        <v>45227</v>
      </c>
      <c r="C468" s="29" t="s">
        <v>11</v>
      </c>
      <c r="D468" s="29">
        <v>50</v>
      </c>
      <c r="F468" s="34">
        <f t="shared" si="7"/>
        <v>-50</v>
      </c>
      <c r="G468" s="34" t="s">
        <v>12</v>
      </c>
      <c r="H468" s="34" t="str">
        <f>VLOOKUP(Transactions[[#This Row],[Sub-category]],TblDV45[#All],2)</f>
        <v>Dining Out</v>
      </c>
      <c r="I468" s="34" t="str">
        <f>VLOOKUP(Transactions[[#This Row],[Sub-category]],TblDV45[#All],3)</f>
        <v>Expense</v>
      </c>
    </row>
    <row r="469" spans="1:9" x14ac:dyDescent="0.3">
      <c r="A469" s="29" t="s">
        <v>59</v>
      </c>
      <c r="B469" s="33">
        <v>45228</v>
      </c>
      <c r="C469" s="29" t="s">
        <v>11</v>
      </c>
      <c r="D469" s="29">
        <v>50</v>
      </c>
      <c r="F469" s="34">
        <f t="shared" si="7"/>
        <v>-50</v>
      </c>
      <c r="G469" s="34" t="s">
        <v>12</v>
      </c>
      <c r="H469" s="34" t="str">
        <f>VLOOKUP(Transactions[[#This Row],[Sub-category]],TblDV45[#All],2)</f>
        <v>Dining Out</v>
      </c>
      <c r="I469" s="34" t="str">
        <f>VLOOKUP(Transactions[[#This Row],[Sub-category]],TblDV45[#All],3)</f>
        <v>Expense</v>
      </c>
    </row>
    <row r="470" spans="1:9" x14ac:dyDescent="0.3">
      <c r="A470" s="29" t="s">
        <v>59</v>
      </c>
      <c r="B470" s="33">
        <v>45228</v>
      </c>
      <c r="C470" s="29" t="s">
        <v>17</v>
      </c>
      <c r="D470" s="29">
        <v>189</v>
      </c>
      <c r="F470" s="34">
        <f t="shared" si="7"/>
        <v>-189</v>
      </c>
      <c r="G470" s="34" t="s">
        <v>18</v>
      </c>
      <c r="H470" s="34" t="str">
        <f>VLOOKUP(Transactions[[#This Row],[Sub-category]],TblDV45[#All],2)</f>
        <v>Living Expenses</v>
      </c>
      <c r="I470" s="34" t="str">
        <f>VLOOKUP(Transactions[[#This Row],[Sub-category]],TblDV45[#All],3)</f>
        <v>Expense</v>
      </c>
    </row>
    <row r="471" spans="1:9" x14ac:dyDescent="0.3">
      <c r="A471" s="29" t="s">
        <v>59</v>
      </c>
      <c r="B471" s="33">
        <v>45229</v>
      </c>
      <c r="C471" s="29" t="s">
        <v>39</v>
      </c>
      <c r="D471" s="29">
        <v>1849.4</v>
      </c>
      <c r="F471" s="34">
        <f t="shared" si="7"/>
        <v>-1849.4</v>
      </c>
      <c r="G471" s="34" t="s">
        <v>24</v>
      </c>
      <c r="H471" s="34" t="str">
        <f>VLOOKUP(Transactions[[#This Row],[Sub-category]],TblDV45[#All],2)</f>
        <v>Discretionary</v>
      </c>
      <c r="I471" s="34" t="str">
        <f>VLOOKUP(Transactions[[#This Row],[Sub-category]],TblDV45[#All],3)</f>
        <v>Expense</v>
      </c>
    </row>
    <row r="472" spans="1:9" x14ac:dyDescent="0.3">
      <c r="A472" s="29" t="s">
        <v>59</v>
      </c>
      <c r="B472" s="33">
        <v>45230</v>
      </c>
      <c r="C472" s="29" t="s">
        <v>46</v>
      </c>
      <c r="D472" s="29">
        <v>1545.5</v>
      </c>
      <c r="F472" s="34">
        <f t="shared" si="7"/>
        <v>-1545.5</v>
      </c>
      <c r="G472" s="34" t="s">
        <v>25</v>
      </c>
      <c r="H472" s="34" t="str">
        <f>VLOOKUP(Transactions[[#This Row],[Sub-category]],TblDV45[#All],2)</f>
        <v>Discretionary</v>
      </c>
      <c r="I472" s="34" t="str">
        <f>VLOOKUP(Transactions[[#This Row],[Sub-category]],TblDV45[#All],3)</f>
        <v>Expense</v>
      </c>
    </row>
    <row r="473" spans="1:9" x14ac:dyDescent="0.3">
      <c r="A473" s="29" t="s">
        <v>59</v>
      </c>
      <c r="B473" s="33">
        <v>45230</v>
      </c>
      <c r="C473" s="29" t="s">
        <v>27</v>
      </c>
      <c r="D473" s="29">
        <v>110</v>
      </c>
      <c r="F473" s="34">
        <f t="shared" si="7"/>
        <v>-110</v>
      </c>
      <c r="G473" s="34" t="s">
        <v>28</v>
      </c>
      <c r="H473" s="34" t="str">
        <f>VLOOKUP(Transactions[[#This Row],[Sub-category]],TblDV45[#All],2)</f>
        <v>Transport</v>
      </c>
      <c r="I473" s="34" t="str">
        <f>VLOOKUP(Transactions[[#This Row],[Sub-category]],TblDV45[#All],3)</f>
        <v>Expense</v>
      </c>
    </row>
    <row r="474" spans="1:9" x14ac:dyDescent="0.3">
      <c r="A474" s="29" t="s">
        <v>59</v>
      </c>
      <c r="B474" s="33">
        <v>45230</v>
      </c>
      <c r="C474" s="29" t="s">
        <v>43</v>
      </c>
      <c r="D474" s="29">
        <v>250</v>
      </c>
      <c r="F474" s="34">
        <f t="shared" si="7"/>
        <v>-250</v>
      </c>
      <c r="G474" s="34" t="s">
        <v>26</v>
      </c>
      <c r="H474" s="34" t="str">
        <f>VLOOKUP(Transactions[[#This Row],[Sub-category]],TblDV45[#All],2)</f>
        <v>Dining Out</v>
      </c>
      <c r="I474" s="34" t="str">
        <f>VLOOKUP(Transactions[[#This Row],[Sub-category]],TblDV45[#All],3)</f>
        <v>Expense</v>
      </c>
    </row>
  </sheetData>
  <mergeCells count="1">
    <mergeCell ref="M4:O4"/>
  </mergeCells>
  <dataValidations count="1">
    <dataValidation type="list" allowBlank="1" showInputMessage="1" showErrorMessage="1" sqref="G2:G474" xr:uid="{F84433BC-5ABB-4C1E-9DD5-033B2A111BC6}">
      <formula1>$M$7:$M$24</formula1>
    </dataValidation>
  </dataValidations>
  <pageMargins left="0.7" right="0.7" top="0.75" bottom="0.75" header="0.3" footer="0.3"/>
  <pageSetup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Pivot_Analysis</vt:lpstr>
      <vt:lpstr>Transactions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Danish Shaikh</dc:creator>
  <cp:lastModifiedBy>Danish Shaikh</cp:lastModifiedBy>
  <dcterms:created xsi:type="dcterms:W3CDTF">2024-09-27T15:56:57Z</dcterms:created>
  <dcterms:modified xsi:type="dcterms:W3CDTF">2025-11-30T11:36:43Z</dcterms:modified>
</cp:coreProperties>
</file>